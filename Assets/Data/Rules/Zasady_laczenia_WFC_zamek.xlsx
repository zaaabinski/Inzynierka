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asady" sheetId="1" state="visible" r:id="rId3"/>
    <sheet name="Kafelki" sheetId="2" state="visible" r:id="rId4"/>
    <sheet name="Etykiety" sheetId="3" state="visible" r:id="rId5"/>
    <sheet name="Zgodność" sheetId="4" state="visible" r:id="rId6"/>
    <sheet name="Pionowo" sheetId="5" state="visible" r:id="rId7"/>
    <sheet name="Sąsiedzi" sheetId="6" state="visible" r:id="rId8"/>
    <sheet name="Wagi" sheetId="7" state="visible" r:id="rId9"/>
    <sheet name="Poza kostką" sheetId="8" state="visible" r:id="rId10"/>
    <sheet name="Stany" sheetId="9" state="visible" r:id="rId11"/>
    <sheet name="Sprawdzenie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<sst xmlns="http://schemas.openxmlformats.org/spreadsheetml/2006/main" count="4033" uniqueCount="749">
  <si>
    <t xml:space="preserve">Zasady łączenia kostek – WFC zamku</t>
  </si>
  <si>
    <t xml:space="preserve">Stan na 21.10.2026. W regułach 50 kafelków (170 stanów z obrotami), zestaw ma 49 modeli. Siatka 20 × 20 × 13 kostek po 3 × 3 × 3 m.</t>
  </si>
  <si>
    <t xml:space="preserve">Zakładki: Kafelki – lista kafelków i etykiet ich ścian · Etykiety – znaczenie każdej etykiety · Zgodność – które etykiety boczne pasują do siebie · Pionowo – co może stać nad czym · Sąsiedzi – pełna lista dozwolonych sąsiadów · Wagi – wagi losowania (można zmieniać) · Poza kostką – elementy wystające poza swoją kostkę · Stany – każdy kafelek w każdym obrocie · Sprawdzenie – wynik testu tych reguł. Wiersze na niebiesko: zasady, które dotąd poprawialiśmy ręcznie, a teraz są w regułach.</t>
  </si>
  <si>
    <t xml:space="preserve">Nr</t>
  </si>
  <si>
    <t xml:space="preserve">Obszar</t>
  </si>
  <si>
    <t xml:space="preserve">Zasada</t>
  </si>
  <si>
    <t xml:space="preserve">Jak to zapisano w regułach</t>
  </si>
  <si>
    <t xml:space="preserve">Uwagi</t>
  </si>
  <si>
    <t xml:space="preserve">Podstawy</t>
  </si>
  <si>
    <t xml:space="preserve">Świat to siatka kostek 3 × 3 × 3 m. Każda komórka siatki dostaje dokładnie jeden kafelek.</t>
  </si>
  <si>
    <t xml:space="preserve">—</t>
  </si>
  <si>
    <t xml:space="preserve">Siatka do badań: 20 × 20 × 13 kostek, czyli 60 × 60 m i 39 m wysokości.</t>
  </si>
  <si>
    <t xml:space="preserve">Każdy kafelek ma 6 ścian: 4 boczne (E, N, W, S) oraz górę i dół. Każda ściana ma etykietę, która opisuje jej krawędź.</t>
  </si>
  <si>
    <t xml:space="preserve">Zakładka Kafelki</t>
  </si>
  <si>
    <t xml:space="preserve">Kierunki w Blenderze: E = +X, N = +Y, W = −X, S = −Y, góra = +Z.</t>
  </si>
  <si>
    <t xml:space="preserve">Dwa kafelki mogą stanąć obok siebie tylko wtedy, gdy etykiety stykających się ścian do siebie pasują.</t>
  </si>
  <si>
    <t xml:space="preserve">Zakładka Zgodność</t>
  </si>
  <si>
    <t xml:space="preserve">Zgodność działa w obie strony: jeśli A pasuje do B, to B pasuje do A.</t>
  </si>
  <si>
    <t xml:space="preserve">Etykiety boczne pasują na trzy sposoby: (1) do samej siebie, np. grunt do gruntu; (2) para „X” i „X_odbity” – ta sama krawędź widziana z drugiej strony; pilnuje, żeby elementy w ciągu miały tę samą orientację, np. zewnętrzna strona muru po tej samej stronie; (3) tylko do etykiet wypisanych w zakładce Zgodność, np. bok muru tylko do gruntu albo powietrza.</t>
  </si>
  <si>
    <t xml:space="preserve">Zakładka Etykiety, kolumna „Rodzaj”</t>
  </si>
  <si>
    <t xml:space="preserve">Pionowo pasują tylko identyczne etykiety. Etykiety z gwiazdką (*) wymagają dodatkowo, żeby kostka nad i pod miała ten sam obrót, np. środek muru nad dołem muru obrócony tak samo.</t>
  </si>
  <si>
    <t xml:space="preserve">Zakładka Pionowo</t>
  </si>
  <si>
    <t xml:space="preserve">Jedyny wyjątek: na górze Powietrza („puste”) może stanąć kafelek z dołem „powietrze” albo „puste”.</t>
  </si>
  <si>
    <t xml:space="preserve">Kafelki niesymetryczne mają 4 obroty: 0°, 90°, 180°, 270° (przeciwnie do ruchu wskazówek zegara, patrząc z góry). Etykiety obracają się razem z kafelkiem. Kafelki symetryczne mają 1 obrót, a ich model można obrócić losowo tylko dla wyglądu.</t>
  </si>
  <si>
    <t xml:space="preserve">Zakładka Stany</t>
  </si>
  <si>
    <t xml:space="preserve">50 kafelków daje 170 stanów.</t>
  </si>
  <si>
    <t xml:space="preserve">Kafelki bez modelu (Powietrze, Powietrze_Nad_Schodami, Donzon_Wnetrze) są dla algorytmu zwykłymi kafelkami, po prostu nic się w nich nie stawia.</t>
  </si>
  <si>
    <t xml:space="preserve">Kolumna „Model 3D” = —</t>
  </si>
  <si>
    <t xml:space="preserve">Każdy element mieści się w swojej kostce albo wystaje tylko do kostki, która według reguł jest zawsze pusta. Nie robimy elementów pod jedną konkretną sytuację.</t>
  </si>
  <si>
    <t xml:space="preserve">Zakładka Poza kostką</t>
  </si>
  <si>
    <t xml:space="preserve">Jeden świadomy wyjątek (decyzja z 21.10.2026): filar podestu w Mur_Gora_Przejscie.</t>
  </si>
  <si>
    <t xml:space="preserve">Teren</t>
  </si>
  <si>
    <t xml:space="preserve">Na najniższym poziomie stoją tylko kafelki z dołem „podloze”: teren, schody, dół muru, dół narożnika, podstawa wieży, parter donżonu i jego wnętrze. Żaden z nich nie może stanąć wyżej.</t>
  </si>
  <si>
    <t xml:space="preserve">dół = podloze</t>
  </si>
  <si>
    <t xml:space="preserve">Cały teren to trawa: zwykła, z kamieniami, ze składowiskiem beczek i skrzyń, z wozem albo ze studnią. Wszystkie mają na bokach „grunt”, więc łączą się ze sobą dowolnie. Dekoracje są częścią kostki, a nie osobnym obiektem.</t>
  </si>
  <si>
    <t xml:space="preserve">boki = grunt</t>
  </si>
  <si>
    <t xml:space="preserve">Proporcje ok. 66 / 20 / 7 / 5 / 2% (zakładka Wagi).</t>
  </si>
  <si>
    <t xml:space="preserve">Nad terenem może stać tylko Powietrze.</t>
  </si>
  <si>
    <t xml:space="preserve">góra = powietrze</t>
  </si>
  <si>
    <t xml:space="preserve">Wolne pole</t>
  </si>
  <si>
    <t xml:space="preserve">Ściany budynków nie stykają się ze sobą bezpośrednio. Bok muru, zewnętrzna ściana wieży i zewnętrzna ściana donżonu łączą się na parterze z gruntem, a wyżej z powietrzem.</t>
  </si>
  <si>
    <t xml:space="preserve">mur_bok_parter ↔ grunt; mur_bok_wyzej ↔ powietrze; wieza_sciana ↔ grunt, powietrze; donzon_sciana ↔ grunt, powietrze</t>
  </si>
  <si>
    <t xml:space="preserve">Wyjątki to zaprojektowane połączenia: mur z murem (końcami), koniec muru ze ścianą wieży, drzwi z mostem albo ze schodami.</t>
  </si>
  <si>
    <t xml:space="preserve">Mur obronny</t>
  </si>
  <si>
    <t xml:space="preserve">Mur to kolumna: dół → dowolnie wiele środków → góra. Wszystkie części kolumny mają ten sam obrót.</t>
  </si>
  <si>
    <t xml:space="preserve">kolumna_muru*</t>
  </si>
  <si>
    <t xml:space="preserve">Najniższy mur ma 2 kostki (dół + góra).</t>
  </si>
  <si>
    <t xml:space="preserve">Odcinki łączą się końcami tylko na tej samej wysokości (dół z dołem, środek ze środkiem, góra z górą) i w tej samej orientacji: zewnętrzna strona zawsze po tej samej stronie. Dlatego cały połączony mur ma jedną wysokość.</t>
  </si>
  <si>
    <t xml:space="preserve">mur_parter ↔ mur_parter_odbity; mur_srodek ↔ mur_srodek; mur_gora ↔ mur_gora_odbity</t>
  </si>
  <si>
    <t xml:space="preserve">Narożnik skręca mur o 90°: dwa końce łączą się z odcinkami muru, dwie pozostałe strony to zewnętrze (wolne pole). Narożnik też jest kolumną: dół → środki → góra.</t>
  </si>
  <si>
    <t xml:space="preserve">kolumna_naroznika_muru*</t>
  </si>
  <si>
    <t xml:space="preserve">Koniec muru może dochodzić do zewnętrznej ściany wieży, na każdej wysokości. Do donżonu nie.</t>
  </si>
  <si>
    <t xml:space="preserve">wieza_sciana ↔ mur_parter, mur_parter_odbity, mur_srodek, mur_gora, mur_gora_odbity</t>
  </si>
  <si>
    <t xml:space="preserve">Brama, mur z beczkami i mur ze skrzyniami to warianty dołu muru; galeria (Brama_Gora) i przejście z podestem to warianty góry. Zamieniają się dowolnie, zgodnie z wagami.</t>
  </si>
  <si>
    <t xml:space="preserve">te same etykiety co Mur_Dol / Mur_Gora</t>
  </si>
  <si>
    <t xml:space="preserve">Galeria może stanąć nad zwykłym murem, nie tylko nad bramą.</t>
  </si>
  <si>
    <t xml:space="preserve">Przejście na murze ma od strony dziedzińca drzwi, więc musi przy nim stać przyczółek mostu.</t>
  </si>
  <si>
    <t xml:space="preserve">Mur_Gora_Przejscie: N = drzwi</t>
  </si>
  <si>
    <t xml:space="preserve">Schodów do muru nie ma (zasady o schodach).</t>
  </si>
  <si>
    <t xml:space="preserve">Wieża</t>
  </si>
  <si>
    <t xml:space="preserve">Wieża zajmuje zawsze 2 × 2 kostki: cztery ćwiartki z tego samego modelu w obrotach 0°, 90°, 180°, 270°. Ćwiartki łączą się tylko ze sobą, w zamknięty kwadrat.</t>
  </si>
  <si>
    <t xml:space="preserve">wieza_cwiartka ↔ wieza_cwiartka_odbity (tak samo blanki, dach, iglica)</t>
  </si>
  <si>
    <t xml:space="preserve">Wieża to kolumna: podstawa → dowolnie wiele pięter (gładkie, ze strzelnicą, z wejściem) → zakończenie: blanki albo dach z iglicą.</t>
  </si>
  <si>
    <t xml:space="preserve">kolumna_wiezy*, kolumna_dachu_wiezy*</t>
  </si>
  <si>
    <t xml:space="preserve">Najniższa wieża ma 2 kostki.</t>
  </si>
  <si>
    <t xml:space="preserve">Wszystkie cztery ćwiartki kończą się na tym samym poziomie i w ten sam sposób, bo zakończenie łączy się bokiem tylko z takim samym zakończeniem.</t>
  </si>
  <si>
    <t xml:space="preserve">wieza_blanki, wieza_dach, wieza_iglica</t>
  </si>
  <si>
    <t xml:space="preserve">Dwie wieże nie stoją bezpośrednio obok siebie. Między nimi musi być wolne pole albo mur.</t>
  </si>
  <si>
    <t xml:space="preserve">wieza_sciana nie pasuje do wieza_sciana</t>
  </si>
  <si>
    <t xml:space="preserve">Ćwiartka z wejściem ma drzwi tylko na swojej stronie S. Po obrotach każda strona wieży ma więc jedną ćwiartkę, w której mogą być drzwi. Przed drzwiami musi być przyczółek mostu albo powietrze nad schodami.</t>
  </si>
  <si>
    <t xml:space="preserve">Wieza_Wejscie: S = drzwi</t>
  </si>
  <si>
    <t xml:space="preserve">Bez lustrzanego odbijania kostek.</t>
  </si>
  <si>
    <t xml:space="preserve">Dach wieży wystaje okapem 30 cm w bok, więc obok niego musi być powietrze.</t>
  </si>
  <si>
    <t xml:space="preserve">okap ↔ powietrze</t>
  </si>
  <si>
    <t xml:space="preserve">Donżon</t>
  </si>
  <si>
    <t xml:space="preserve">Donżon to pierścień ścian zamknięty narożnikami, w środku wnętrze. Najmniejszy donżon to 2 × 2 z samych narożników. Ściany łączą się w ciąg tylko ze ścianami i narożnikami donżonu na tej samej wysokości.</t>
  </si>
  <si>
    <t xml:space="preserve">donzon_ciag ↔ donzon_ciag_odbity; donzon_wnetrze ↔ donzon_wnetrze</t>
  </si>
  <si>
    <t xml:space="preserve">Parter: ściana, ściana z oknem, narożnik, a w środku posadzka (model trawy). Piętra: ściana, okno, drzwi, narożnik, a w środku niewidoczne wnętrze. Każda kolumna ma ten sam obrót.</t>
  </si>
  <si>
    <t xml:space="preserve">kolumna_sciany_donzonu*, kolumna_naroznika_donzonu*, kolumna_wnetrza_donzonu</t>
  </si>
  <si>
    <t xml:space="preserve">Drzwi są tylko na piętrach.</t>
  </si>
  <si>
    <t xml:space="preserve">Drzwi donżonu leżą na krawędzi kostki, od zewnątrz. Przed nimi musi być przyczółek mostu albo powietrze nad schodami.</t>
  </si>
  <si>
    <t xml:space="preserve">Donzon_Drzwi: S = drzwi</t>
  </si>
  <si>
    <t xml:space="preserve">Cały pierścień kończy się na tym samym piętrze dachem: nad ścianą spadek, nad narożnikiem narożnik dachu, nad wnętrzem szczyt. Dach ma 2 kostki wysokości (dół z okapem i góra).</t>
  </si>
  <si>
    <t xml:space="preserve">kolumna_spadku_dachu*, kolumna_naroznika_dachu*; dach_dol, dach_gora, dach_szczyt</t>
  </si>
  <si>
    <t xml:space="preserve">Dach donżonu wystaje okapem 40 cm w bok, więc obok niego musi być powietrze.</t>
  </si>
  <si>
    <t xml:space="preserve">Most</t>
  </si>
  <si>
    <t xml:space="preserve">Most = początek + co najmniej 1 środek + koniec, w jednej prostej linii i na jednym poziomie. Środek może się powtarzać, więc most ma od 3 kostek wzwyż. Bez zakrętów i filarów.</t>
  </si>
  <si>
    <t xml:space="preserve">most_poczatek ↔ most_srodek_od_poczatku; most_srodek_do_konca ↔ most_srodek_od_poczatku; most_srodek_do_konca ↔ most_koniec</t>
  </si>
  <si>
    <t xml:space="preserve">Oba końce mostu stykają się z drzwiami: donżonu, wieży albo przejścia na murze. Most nie może się urwać.</t>
  </si>
  <si>
    <t xml:space="preserve">most_przyczolek ↔ drzwi</t>
  </si>
  <si>
    <t xml:space="preserve">Pod każdą kostką mostu musi być puste Powietrze, bo łuk schodzi 2,4 m w dół. Most nie stoi bezpośrednio na murze, wieży ani dachu.</t>
  </si>
  <si>
    <t xml:space="preserve">dół mostu = puste; górę „puste” ma tylko Powietrze</t>
  </si>
  <si>
    <t xml:space="preserve">Schody i drzwi</t>
  </si>
  <si>
    <t xml:space="preserve">Schody stoją na parterze, wyższym końcem do zewnętrznej ściany wieży albo donżonu. Przy murze obronnym i narożniku muru schodów nie ma.</t>
  </si>
  <si>
    <t xml:space="preserve">schody_szczyt ↔ wieza_sciana, donzon_sciana</t>
  </si>
  <si>
    <t xml:space="preserve">Nad schodami stoi niewidoczny kafelek Powietrze_Nad_Schodami w tym samym obrocie. Jego strona od ściany pasuje tylko do drzwi, więc piętro wyżej zawsze są drzwi zwrócone do schodów (ćwiartka wieży z wejściem albo drzwi donżonu). Gdzie drzwi nie mogą stanąć, schodów nie będzie.</t>
  </si>
  <si>
    <t xml:space="preserve">Schody: góra = nad_schodami*; Powietrze_Nad_Schodami: N = przed_drzwiami; drzwi ↔ przed_drzwiami</t>
  </si>
  <si>
    <t xml:space="preserve">W praktyce schody stoją przed ścianą donżonu (nie przed narożnikiem) albo przed jedną ćwiartką na każdej stronie wieży – tam, gdzie piętro wyżej mogą być drzwi.</t>
  </si>
  <si>
    <t xml:space="preserve">Każde drzwi prowadzą dokądś: przed nimi stoi przyczółek mostu albo powietrze nad schodami. Drzwi nie mogą wychodzić na krawędź mapy.</t>
  </si>
  <si>
    <t xml:space="preserve">drzwi ↔ most_przyczolek, przed_drzwiami</t>
  </si>
  <si>
    <t xml:space="preserve">Krawędź mapy</t>
  </si>
  <si>
    <t xml:space="preserve">Za krawędzią mapy algorytm zakłada wolne pole: na parterze grunt, wyżej powietrze. Dzięki temu nic nie urywa się na krawędzi.</t>
  </si>
  <si>
    <t xml:space="preserve">krawędź = grunt (poziom 0), powietrze (wyżej)</t>
  </si>
  <si>
    <t xml:space="preserve">Na najwyższym poziomie siatki stoją tylko kafelki, nad którymi może być powietrze.</t>
  </si>
  <si>
    <t xml:space="preserve">góra = powietrze albo puste</t>
  </si>
  <si>
    <t xml:space="preserve">Algorytm</t>
  </si>
  <si>
    <t xml:space="preserve">Kolejność: najpierw cały parter, potem kolejne piętra. Na danym piętrze algorytm wybiera komórkę o najmniejszej entropii Shannona (najmniejszej niepewności z uwzględnieniem wag); remisy rozstrzyga losowo.</t>
  </si>
  <si>
    <t xml:space="preserve">Kolejność piętrami daje większe różnice wysokości budynków.</t>
  </si>
  <si>
    <t xml:space="preserve">Wybór kafelka w komórce: losowanie ważone wagami. Każdy obrót kafelka ma pełną wagę kafelka.</t>
  </si>
  <si>
    <t xml:space="preserve">Zakładka Wagi</t>
  </si>
  <si>
    <t xml:space="preserve">Po każdej decyzji ograniczenia rozchodzą się na sąsiadów we wszystkich 6 kierunkach, aż nic się już nie zmienia (propagacja).</t>
  </si>
  <si>
    <t xml:space="preserve">Sprzeczność, czyli komórka bez żadnej możliwości, oznacza start od nowa z kolejnym ziarnem losowania, bez cofania decyzji.</t>
  </si>
  <si>
    <t xml:space="preserve">Ok. 1/3 prób kończy się sprzecznością (zakładka Sprawdzenie).</t>
  </si>
  <si>
    <t xml:space="preserve">Unity</t>
  </si>
  <si>
    <t xml:space="preserve">Po eksporcie FBX (przód −Z, góra Y, zastosowane transformacje) kierunki w Unity: E = −X, N = −Z, W = +X, S = +Z, góra = +Y.</t>
  </si>
  <si>
    <t xml:space="preserve">Kontrola: cokół Mur_Dol (strona S) powinien w Unity patrzeć w +Z.</t>
  </si>
  <si>
    <t xml:space="preserve">Obrót kafelka o k × 90° z tych reguł to w Unity obrót o −k × 90° wokół osi Y: Quaternion.Euler(0, −90·k, 0).</t>
  </si>
  <si>
    <t xml:space="preserve">Komórka siatki (x, y, z) to w Blenderze środek podstawy kostki w punkcie (3x + 1,5; 3y + 1,5; 3z) metrów.</t>
  </si>
  <si>
    <t xml:space="preserve">Nieużywane</t>
  </si>
  <si>
    <t xml:space="preserve">Bruk (Teren_Bruk, _V2, _Skladowisko, _Woz, _Studnia) musiał wcześniej przylegać jedną stroną do ściany. Zastąpiony trawą z dekoracjami.</t>
  </si>
  <si>
    <t xml:space="preserve">Modele zostały w zestawie.</t>
  </si>
  <si>
    <t xml:space="preserve">Teren_Przejscie (przejście trawa–bruk) nie jest używane od pierwszej wersji WFC.</t>
  </si>
  <si>
    <t xml:space="preserve">Kostki z podestem przy drzwiach w murze oraz zakręty i filary mostów są usunięte z zestawu.</t>
  </si>
  <si>
    <t xml:space="preserve">Do decyzji</t>
  </si>
  <si>
    <t xml:space="preserve">Mur_Gora_Przejscie: filar podestu schodzi 2,4 m w kostkę muru pod spodem. Nad bramą zasłania przejazd, nad murem z beczkami albo skrzyniami wchodzi w dekoracje. To ta sama sytuacja co z usuniętym podestem.</t>
  </si>
  <si>
    <t xml:space="preserve">Szczegóły w zakładce Poza kostką.</t>
  </si>
  <si>
    <t xml:space="preserve">Dach_Szczyt_Choragiew był w regułach bez modelu: stary model zniknął z pliku Blendera razem ze starym kształtem dachu, więc stawiano zwykły Dach_Szczyt.</t>
  </si>
  <si>
    <t xml:space="preserve">Przywrócić model albo usunąć kafelek.</t>
  </si>
  <si>
    <t xml:space="preserve">W trzech ostatnich zamkach (WFC_Normalne_2) dwie ćwiartki z wejściem są odbite lustrzanie. Te reguły tego nie przewidują, więc generator sam ich nie postawi.</t>
  </si>
  <si>
    <t xml:space="preserve">Bez bruku budowle wychodzą rzadsze niż w zamkach, które widziałeś: średnio 11,8 wieży na mapę zamiast 18,6, bo bruk wymuszał obok siebie ścianę. Niższe wagi trawy pomagają tylko częściowo i zwiększają liczbę sprzeczności.</t>
  </si>
  <si>
    <t xml:space="preserve">Tabela „Gęstość zabudowy a wagi trawy” w zakładce Sprawdzenie.</t>
  </si>
  <si>
    <t xml:space="preserve">Kafelki i etykiety ich ścian</t>
  </si>
  <si>
    <t xml:space="preserve">Etykiety w obrocie 0°. Gwiazdka (*) przy etykiecie pionowej: kostka nad albo pod musi mieć ten sam obrót. Poziom „parter” = tylko najniższy poziom siatki, „wyżej” = wszystkie wyższe.</t>
  </si>
  <si>
    <t xml:space="preserve">Kafelek</t>
  </si>
  <si>
    <t xml:space="preserve">Model 3D</t>
  </si>
  <si>
    <t xml:space="preserve">Grupa</t>
  </si>
  <si>
    <t xml:space="preserve">Poziom</t>
  </si>
  <si>
    <t xml:space="preserve">Obroty</t>
  </si>
  <si>
    <t xml:space="preserve">Waga</t>
  </si>
  <si>
    <t xml:space="preserve">E (+X)</t>
  </si>
  <si>
    <t xml:space="preserve">N (+Y)</t>
  </si>
  <si>
    <t xml:space="preserve">W (−X)</t>
  </si>
  <si>
    <t xml:space="preserve">S (−Y)</t>
  </si>
  <si>
    <t xml:space="preserve">Góra</t>
  </si>
  <si>
    <t xml:space="preserve">Dół</t>
  </si>
  <si>
    <t xml:space="preserve">Opis</t>
  </si>
  <si>
    <t xml:space="preserve">Teren_Trawa</t>
  </si>
  <si>
    <t xml:space="preserve">parter</t>
  </si>
  <si>
    <t xml:space="preserve">grunt</t>
  </si>
  <si>
    <t xml:space="preserve">powietrze</t>
  </si>
  <si>
    <t xml:space="preserve">podloze</t>
  </si>
  <si>
    <t xml:space="preserve">Trawa.</t>
  </si>
  <si>
    <t xml:space="preserve">Teren_Trawa_V2</t>
  </si>
  <si>
    <t xml:space="preserve">Trawa z kamieniami i kępkami.</t>
  </si>
  <si>
    <t xml:space="preserve">Teren_Trawa_Skladowisko</t>
  </si>
  <si>
    <t xml:space="preserve">Trawa z beczkami i skrzyniami.</t>
  </si>
  <si>
    <t xml:space="preserve">Teren_Trawa_Woz</t>
  </si>
  <si>
    <t xml:space="preserve">Trawa z wozem.</t>
  </si>
  <si>
    <t xml:space="preserve">Teren_Trawa_Studnia</t>
  </si>
  <si>
    <t xml:space="preserve">Trawa ze studnią.</t>
  </si>
  <si>
    <t xml:space="preserve">Schody</t>
  </si>
  <si>
    <t xml:space="preserve">schody_szczyt</t>
  </si>
  <si>
    <t xml:space="preserve">nad_schodami*</t>
  </si>
  <si>
    <t xml:space="preserve">Schody na wysokość 3 m; wyższy koniec po stronie N.</t>
  </si>
  <si>
    <t xml:space="preserve">Powietrze</t>
  </si>
  <si>
    <t xml:space="preserve">wyżej</t>
  </si>
  <si>
    <t xml:space="preserve">puste</t>
  </si>
  <si>
    <t xml:space="preserve">Pusta komórka.</t>
  </si>
  <si>
    <t xml:space="preserve">Powietrze_Nad_Schodami</t>
  </si>
  <si>
    <t xml:space="preserve">przed_drzwiami</t>
  </si>
  <si>
    <t xml:space="preserve">Niewidoczny. Pusta komórka nad schodami; strona N musi stykać się z drzwiami.</t>
  </si>
  <si>
    <t xml:space="preserve">Mur_Dol</t>
  </si>
  <si>
    <t xml:space="preserve">mur_parter</t>
  </si>
  <si>
    <t xml:space="preserve">mur_bok_parter</t>
  </si>
  <si>
    <t xml:space="preserve">mur_parter_odbity</t>
  </si>
  <si>
    <t xml:space="preserve">Dół muru: cokół na zewnątrz (S), pas bruku od dziedzińca (N).</t>
  </si>
  <si>
    <t xml:space="preserve">Mur_Dol_Beczki</t>
  </si>
  <si>
    <t xml:space="preserve">Dół muru z beczkami od dziedzińca (N).</t>
  </si>
  <si>
    <t xml:space="preserve">Mur_Dol_Skrzynie</t>
  </si>
  <si>
    <t xml:space="preserve">Dół muru ze skrzyniami od dziedzińca (N).</t>
  </si>
  <si>
    <t xml:space="preserve">Brama_Dol</t>
  </si>
  <si>
    <t xml:space="preserve">Brama z kratą; przejazd S–N.</t>
  </si>
  <si>
    <t xml:space="preserve">Brama_Dol_Pochodnie</t>
  </si>
  <si>
    <t xml:space="preserve">Brama z kratą i 4 pochodniami.</t>
  </si>
  <si>
    <t xml:space="preserve">Mur_Srodek</t>
  </si>
  <si>
    <t xml:space="preserve">mur_srodek</t>
  </si>
  <si>
    <t xml:space="preserve">mur_bok_wyzej</t>
  </si>
  <si>
    <t xml:space="preserve">Środek muru, gładki.</t>
  </si>
  <si>
    <t xml:space="preserve">Mur_Srodek_V2</t>
  </si>
  <si>
    <t xml:space="preserve">Środek muru z wystającymi kamieniami.</t>
  </si>
  <si>
    <t xml:space="preserve">Mur_Srodek_V3</t>
  </si>
  <si>
    <t xml:space="preserve">Środek muru ze szczeliną.</t>
  </si>
  <si>
    <t xml:space="preserve">Mur_Gora</t>
  </si>
  <si>
    <t xml:space="preserve">mur_gora</t>
  </si>
  <si>
    <t xml:space="preserve">mur_gora_odbity</t>
  </si>
  <si>
    <t xml:space="preserve">Góra muru: blanki po stronie zewnętrznej (S).</t>
  </si>
  <si>
    <t xml:space="preserve">Mur_Gora_V2</t>
  </si>
  <si>
    <t xml:space="preserve">Góra muru z uszkodzonymi blankami.</t>
  </si>
  <si>
    <t xml:space="preserve">Brama_Gora</t>
  </si>
  <si>
    <t xml:space="preserve">Galeria wysunięta na zewnątrz (S).</t>
  </si>
  <si>
    <t xml:space="preserve">Mur_Gora_Przejscie</t>
  </si>
  <si>
    <t xml:space="preserve">drzwi</t>
  </si>
  <si>
    <t xml:space="preserve">Góra muru z podestem od dziedzińca (N) – początek albo koniec mostu.</t>
  </si>
  <si>
    <t xml:space="preserve">Mur_Naroznik_Dol</t>
  </si>
  <si>
    <t xml:space="preserve">Narożnik muru</t>
  </si>
  <si>
    <t xml:space="preserve">Dół narożnika: ramiona E i N, zewnątrz W i S.</t>
  </si>
  <si>
    <t xml:space="preserve">Mur_Naroznik_Srodek</t>
  </si>
  <si>
    <t xml:space="preserve">Środek narożnika.</t>
  </si>
  <si>
    <t xml:space="preserve">Mur_Naroznik_Gora</t>
  </si>
  <si>
    <t xml:space="preserve">Góra narożnika z blankami.</t>
  </si>
  <si>
    <t xml:space="preserve">Wieza_Podstawa</t>
  </si>
  <si>
    <t xml:space="preserve">wieza_cwiartka</t>
  </si>
  <si>
    <t xml:space="preserve">wieza_cwiartka_odbity</t>
  </si>
  <si>
    <t xml:space="preserve">wieza_sciana</t>
  </si>
  <si>
    <t xml:space="preserve">kolumna_wiezy*</t>
  </si>
  <si>
    <t xml:space="preserve">Ćwiartka wieży: podstawa ze skarpą.</t>
  </si>
  <si>
    <t xml:space="preserve">Wieza_Srodek</t>
  </si>
  <si>
    <t xml:space="preserve">Ćwiartka wieży: piętro gładkie.</t>
  </si>
  <si>
    <t xml:space="preserve">Wieza_Strzelnica</t>
  </si>
  <si>
    <t xml:space="preserve">Ćwiartka wieży: piętro ze strzelnicą.</t>
  </si>
  <si>
    <t xml:space="preserve">Wieza_Wejscie</t>
  </si>
  <si>
    <t xml:space="preserve">Ćwiartka wieży: piętro z drzwiami na stronie S.</t>
  </si>
  <si>
    <t xml:space="preserve">Wieza_Szczyt</t>
  </si>
  <si>
    <t xml:space="preserve">wieza_blanki</t>
  </si>
  <si>
    <t xml:space="preserve">wieza_blanki_odbity</t>
  </si>
  <si>
    <t xml:space="preserve">Ćwiartka wieży: blanki.</t>
  </si>
  <si>
    <t xml:space="preserve">Wieza_Szczyt_Choragiew</t>
  </si>
  <si>
    <t xml:space="preserve">Ćwiartka wieży: blanki z chorągwią.</t>
  </si>
  <si>
    <t xml:space="preserve">Wieza_Dach</t>
  </si>
  <si>
    <t xml:space="preserve">wieza_dach</t>
  </si>
  <si>
    <t xml:space="preserve">wieza_dach_odbity</t>
  </si>
  <si>
    <t xml:space="preserve">okap</t>
  </si>
  <si>
    <t xml:space="preserve">kolumna_dachu_wiezy*</t>
  </si>
  <si>
    <t xml:space="preserve">Ćwiartka wieży: dół dachu z okapem.</t>
  </si>
  <si>
    <t xml:space="preserve">Wieza_Dach_Gora</t>
  </si>
  <si>
    <t xml:space="preserve">wieza_iglica</t>
  </si>
  <si>
    <t xml:space="preserve">wieza_iglica_odbity</t>
  </si>
  <si>
    <t xml:space="preserve">Ćwiartka wieży: iglica.</t>
  </si>
  <si>
    <t xml:space="preserve">Donzon_Sciana_Parter</t>
  </si>
  <si>
    <t xml:space="preserve">Donzon_Sciana</t>
  </si>
  <si>
    <t xml:space="preserve">donzon_ciag</t>
  </si>
  <si>
    <t xml:space="preserve">donzon_wnetrze</t>
  </si>
  <si>
    <t xml:space="preserve">donzon_ciag_odbity</t>
  </si>
  <si>
    <t xml:space="preserve">donzon_sciana</t>
  </si>
  <si>
    <t xml:space="preserve">kolumna_sciany_donzonu*</t>
  </si>
  <si>
    <t xml:space="preserve">Ściana donżonu na parterze.</t>
  </si>
  <si>
    <t xml:space="preserve">Donzon_Okno_Parter</t>
  </si>
  <si>
    <t xml:space="preserve">Donzon_Okno</t>
  </si>
  <si>
    <t xml:space="preserve">Ściana z oknem na parterze.</t>
  </si>
  <si>
    <t xml:space="preserve">Donzon_Naroznik_Parter</t>
  </si>
  <si>
    <t xml:space="preserve">Donzon_Naroznik</t>
  </si>
  <si>
    <t xml:space="preserve">kolumna_naroznika_donzonu*</t>
  </si>
  <si>
    <t xml:space="preserve">Narożnik donżonu na parterze: ciąg E i N, zewnątrz W i S.</t>
  </si>
  <si>
    <t xml:space="preserve">Donzon_Posadzka</t>
  </si>
  <si>
    <t xml:space="preserve">kolumna_wnetrza_donzonu</t>
  </si>
  <si>
    <t xml:space="preserve">Wnętrze donżonu na parterze (model trawy).</t>
  </si>
  <si>
    <t xml:space="preserve">Ściana donżonu na piętrze.</t>
  </si>
  <si>
    <t xml:space="preserve">Ściana z oknem na piętrze.</t>
  </si>
  <si>
    <t xml:space="preserve">Donzon_Drzwi</t>
  </si>
  <si>
    <t xml:space="preserve">Ściana z drzwiami na stronie S (na piętrze).</t>
  </si>
  <si>
    <t xml:space="preserve">Donzon_Drzwi_Pochodnie</t>
  </si>
  <si>
    <t xml:space="preserve">Ściana z drzwiami i 2 pochodniami.</t>
  </si>
  <si>
    <t xml:space="preserve">Narożnik donżonu na piętrze.</t>
  </si>
  <si>
    <t xml:space="preserve">Donzon_Wnetrze</t>
  </si>
  <si>
    <t xml:space="preserve">Niewidoczny. Wnętrze donżonu na piętrach.</t>
  </si>
  <si>
    <t xml:space="preserve">Dach_Skos</t>
  </si>
  <si>
    <t xml:space="preserve">Dach donżonu</t>
  </si>
  <si>
    <t xml:space="preserve">dach_dol</t>
  </si>
  <si>
    <t xml:space="preserve">dach_dol_odbity</t>
  </si>
  <si>
    <t xml:space="preserve">kolumna_spadku_dachu*</t>
  </si>
  <si>
    <t xml:space="preserve">Dolny spadek dachu nad ścianą; okap na S.</t>
  </si>
  <si>
    <t xml:space="preserve">Dach_Naroznik</t>
  </si>
  <si>
    <t xml:space="preserve">kolumna_naroznika_dachu*</t>
  </si>
  <si>
    <t xml:space="preserve">Dolny narożnik dachu; okap na W i S.</t>
  </si>
  <si>
    <t xml:space="preserve">Dach_Skos_Gora</t>
  </si>
  <si>
    <t xml:space="preserve">dach_gora</t>
  </si>
  <si>
    <t xml:space="preserve">dach_szczyt</t>
  </si>
  <si>
    <t xml:space="preserve">dach_gora_odbity</t>
  </si>
  <si>
    <t xml:space="preserve">Górny spadek dachu.</t>
  </si>
  <si>
    <t xml:space="preserve">Dach_Naroznik_Gora</t>
  </si>
  <si>
    <t xml:space="preserve">Górny narożnik dachu.</t>
  </si>
  <si>
    <t xml:space="preserve">Dach_Szczyt</t>
  </si>
  <si>
    <t xml:space="preserve">Szczyt dachu nad wnętrzem.</t>
  </si>
  <si>
    <t xml:space="preserve">Dach_Szczyt_Choragiew</t>
  </si>
  <si>
    <t xml:space="preserve">Dach_Szczyt_Choragiew</t>
  </si>
  <si>
    <t xml:space="preserve">Szczyt dachu z chorągwią.</t>
  </si>
  <si>
    <t xml:space="preserve">Most_Poczatek</t>
  </si>
  <si>
    <t xml:space="preserve">most_poczatek</t>
  </si>
  <si>
    <t xml:space="preserve">most_przyczolek</t>
  </si>
  <si>
    <t xml:space="preserve">Początek mostu: łuk oparty o ścianę po stronie W.</t>
  </si>
  <si>
    <t xml:space="preserve">Most_Srodek</t>
  </si>
  <si>
    <t xml:space="preserve">most_srodek_do_konca</t>
  </si>
  <si>
    <t xml:space="preserve">most_srodek_od_poczatku</t>
  </si>
  <si>
    <t xml:space="preserve">Środek mostu (może się powtarzać).</t>
  </si>
  <si>
    <t xml:space="preserve">Most_Koniec</t>
  </si>
  <si>
    <t xml:space="preserve">most_koniec</t>
  </si>
  <si>
    <t xml:space="preserve">Koniec mostu: łuk oparty o ścianę po stronie E.</t>
  </si>
  <si>
    <t xml:space="preserve">Modele w zestawie, których te reguły nie używają</t>
  </si>
  <si>
    <t xml:space="preserve">Teren_Bruk</t>
  </si>
  <si>
    <t xml:space="preserve">nieużywany</t>
  </si>
  <si>
    <t xml:space="preserve">Teren_Bruk_Skladowisko</t>
  </si>
  <si>
    <t xml:space="preserve">Teren_Bruk_Studnia</t>
  </si>
  <si>
    <t xml:space="preserve">Teren_Bruk_V2</t>
  </si>
  <si>
    <t xml:space="preserve">Teren_Bruk_Woz</t>
  </si>
  <si>
    <t xml:space="preserve">Teren_Przejscie</t>
  </si>
  <si>
    <t xml:space="preserve">Etykiety ścian</t>
  </si>
  <si>
    <t xml:space="preserve">Etykieta opisuje krawędź ściany. Bok = E, N, W, S; pion = góra i dół.</t>
  </si>
  <si>
    <t xml:space="preserve">Etykieta</t>
  </si>
  <si>
    <t xml:space="preserve">Kierunek</t>
  </si>
  <si>
    <t xml:space="preserve">Rodzaj</t>
  </si>
  <si>
    <t xml:space="preserve">Pasuje do</t>
  </si>
  <si>
    <t xml:space="preserve">Gdzie występuje (kafelek: strona, obrót 0°)</t>
  </si>
  <si>
    <t xml:space="preserve">bok</t>
  </si>
  <si>
    <t xml:space="preserve">pasuje do siebie</t>
  </si>
  <si>
    <t xml:space="preserve">Płaski teren na parterze (wolne pole).</t>
  </si>
  <si>
    <t xml:space="preserve">grunt, mur_bok_parter, wieza_sciana, donzon_sciana</t>
  </si>
  <si>
    <t xml:space="preserve">Teren_Trawa: E, N, W, S; Teren_Trawa_V2: E, N, W, S; Teren_Trawa_Skladowisko: E, N, W, S; Teren_Trawa_Woz: E, N, W, S; Teren_Trawa_Studnia: E, N, W, S; Schody: E, W, S</t>
  </si>
  <si>
    <t xml:space="preserve">Pusta przestrzeń powyżej parteru (wolne pole).</t>
  </si>
  <si>
    <t xml:space="preserve">powietrze, mur_bok_wyzej, wieza_sciana, okap, donzon_sciana</t>
  </si>
  <si>
    <t xml:space="preserve">Powietrze: E, N, W, S; Powietrze_Nad_Schodami: E, W, S; Wieza_Dach_Gora: W, S; Dach_Skos_Gora: S; Dach_Naroznik_Gora: W, S; Most_Poczatek: N, S; Most_Srodek: N, S; Most_Koniec: N, S</t>
  </si>
  <si>
    <t xml:space="preserve">para z odbiciem</t>
  </si>
  <si>
    <t xml:space="preserve">Koniec dolnej części muru (profil z cokołem).</t>
  </si>
  <si>
    <t xml:space="preserve">mur_parter_odbity, wieza_sciana</t>
  </si>
  <si>
    <t xml:space="preserve">Mur_Dol: E; Mur_Dol_Beczki: E; Mur_Dol_Skrzynie: E; Brama_Dol: E; Brama_Dol_Pochodnie: E; Mur_Naroznik_Dol: E</t>
  </si>
  <si>
    <t xml:space="preserve">Ta sama krawędź widziana z drugiej strony.</t>
  </si>
  <si>
    <t xml:space="preserve">mur_parter, wieza_sciana</t>
  </si>
  <si>
    <t xml:space="preserve">Mur_Dol: W; Mur_Dol_Beczki: W; Mur_Dol_Skrzynie: W; Brama_Dol: W; Brama_Dol_Pochodnie: W; Mur_Naroznik_Dol: N</t>
  </si>
  <si>
    <t xml:space="preserve">Koniec środkowej części muru (profil symetryczny).</t>
  </si>
  <si>
    <t xml:space="preserve">mur_srodek, wieza_sciana</t>
  </si>
  <si>
    <t xml:space="preserve">Mur_Srodek: E, W; Mur_Srodek_V2: E, W; Mur_Srodek_V3: E, W; Mur_Naroznik_Srodek: E, N</t>
  </si>
  <si>
    <t xml:space="preserve">Koniec górnej części muru z blankami.</t>
  </si>
  <si>
    <t xml:space="preserve">mur_gora_odbity, wieza_sciana</t>
  </si>
  <si>
    <t xml:space="preserve">Mur_Gora: E; Mur_Gora_V2: E; Brama_Gora: E; Mur_Gora_Przejscie: E; Mur_Naroznik_Gora: E</t>
  </si>
  <si>
    <t xml:space="preserve">mur_gora, wieza_sciana</t>
  </si>
  <si>
    <t xml:space="preserve">Mur_Gora: W; Mur_Gora_V2: W; Brama_Gora: W; Mur_Gora_Przejscie: W; Mur_Naroznik_Gora: N</t>
  </si>
  <si>
    <t xml:space="preserve">tylko z listy</t>
  </si>
  <si>
    <t xml:space="preserve">Bok muru na parterze: od zewnątrz albo od dziedzińca.</t>
  </si>
  <si>
    <t xml:space="preserve">Mur_Dol: N, S; Mur_Dol_Beczki: N, S; Mur_Dol_Skrzynie: N, S; Brama_Dol: N, S; Brama_Dol_Pochodnie: N, S; Mur_Naroznik_Dol: W, S</t>
  </si>
  <si>
    <t xml:space="preserve">Bok muru powyżej parteru.</t>
  </si>
  <si>
    <t xml:space="preserve">Mur_Srodek: N, S; Mur_Srodek_V2: N, S; Mur_Srodek_V3: N, S; Mur_Gora: N, S; Mur_Gora_V2: N, S; Brama_Gora: N, S; Mur_Gora_Przejscie: S; Mur_Naroznik_Srodek: W, S; Mur_Naroznik_Gora: W, S</t>
  </si>
  <si>
    <t xml:space="preserve">Strona z drzwiami: donżon, ćwiartka wieży, przejście na murze.</t>
  </si>
  <si>
    <t xml:space="preserve">most_przyczolek, przed_drzwiami</t>
  </si>
  <si>
    <t xml:space="preserve">Mur_Gora_Przejscie: N; Wieza_Wejscie: S; Donzon_Drzwi: S; Donzon_Drzwi_Pochodnie: S</t>
  </si>
  <si>
    <t xml:space="preserve">Styk dwóch ćwiartek tej samej wieży na piętrze.</t>
  </si>
  <si>
    <t xml:space="preserve">Wieza_Podstawa: E; Wieza_Srodek: E; Wieza_Strzelnica: E; Wieza_Wejscie: E</t>
  </si>
  <si>
    <t xml:space="preserve">Wieza_Podstawa: N; Wieza_Srodek: N; Wieza_Strzelnica: N; Wieza_Wejscie: N</t>
  </si>
  <si>
    <t xml:space="preserve">Styk ćwiartek na wysokości blanków.</t>
  </si>
  <si>
    <t xml:space="preserve">Wieza_Szczyt: E; Wieza_Szczyt_Choragiew: E</t>
  </si>
  <si>
    <t xml:space="preserve">Wieza_Szczyt: N; Wieza_Szczyt_Choragiew: N</t>
  </si>
  <si>
    <t xml:space="preserve">Styk ćwiartek w dolnej części dachu.</t>
  </si>
  <si>
    <t xml:space="preserve">Wieza_Dach: E</t>
  </si>
  <si>
    <t xml:space="preserve">Wieza_Dach: N</t>
  </si>
  <si>
    <t xml:space="preserve">Styk ćwiartek w iglicy.</t>
  </si>
  <si>
    <t xml:space="preserve">Wieza_Dach_Gora: E</t>
  </si>
  <si>
    <t xml:space="preserve">Wieza_Dach_Gora: N</t>
  </si>
  <si>
    <t xml:space="preserve">Zewnętrzna ściana wieży.</t>
  </si>
  <si>
    <t xml:space="preserve">grunt, powietrze, mur_parter, mur_parter_odbity, mur_srodek, mur_gora, mur_gora_odbity, schody_szczyt</t>
  </si>
  <si>
    <t xml:space="preserve">Wieza_Podstawa: W, S; Wieza_Srodek: W, S; Wieza_Strzelnica: W, S; Wieza_Wejscie: W; Wieza_Szczyt: W, S; Wieza_Szczyt_Choragiew: W, S</t>
  </si>
  <si>
    <t xml:space="preserve">Strona dachu z okapem wystającym w bok.</t>
  </si>
  <si>
    <t xml:space="preserve">Wieza_Dach: W, S; Dach_Skos: S; Dach_Naroznik: W, S</t>
  </si>
  <si>
    <t xml:space="preserve">Styk dwóch ścian donżonu w pierścieniu.</t>
  </si>
  <si>
    <t xml:space="preserve">Donzon_Sciana_Parter: E; Donzon_Okno_Parter: E; Donzon_Naroznik_Parter: E; Donzon_Sciana: E; Donzon_Okno: E; Donzon_Drzwi: E; Donzon_Drzwi_Pochodnie: E; Donzon_Naroznik: E</t>
  </si>
  <si>
    <t xml:space="preserve">Donzon_Sciana_Parter: W; Donzon_Okno_Parter: W; Donzon_Naroznik_Parter: N; Donzon_Sciana: W; Donzon_Okno: W; Donzon_Drzwi: W; Donzon_Drzwi_Pochodnie: W; Donzon_Naroznik: N</t>
  </si>
  <si>
    <t xml:space="preserve">Zewnętrzna ściana donżonu.</t>
  </si>
  <si>
    <t xml:space="preserve">grunt, powietrze, schody_szczyt</t>
  </si>
  <si>
    <t xml:space="preserve">Donzon_Sciana_Parter: S; Donzon_Okno_Parter: S; Donzon_Naroznik_Parter: W, S; Donzon_Sciana: S; Donzon_Okno: S; Donzon_Naroznik: W, S</t>
  </si>
  <si>
    <t xml:space="preserve">Strona zwrócona do wnętrza donżonu.</t>
  </si>
  <si>
    <t xml:space="preserve">Donzon_Sciana_Parter: N; Donzon_Okno_Parter: N; Donzon_Posadzka: E, N, W, S; Donzon_Sciana: N; Donzon_Okno: N; Donzon_Drzwi: N; Donzon_Drzwi_Pochodnie: N; Donzon_Wnetrze: E, N, W, S; Dach_Skos: N</t>
  </si>
  <si>
    <t xml:space="preserve">Styk dolnych części dachu donżonu.</t>
  </si>
  <si>
    <t xml:space="preserve">Dach_Skos: E; Dach_Naroznik: E</t>
  </si>
  <si>
    <t xml:space="preserve">Dach_Skos: W; Dach_Naroznik: N</t>
  </si>
  <si>
    <t xml:space="preserve">Styk górnych części dachu donżonu.</t>
  </si>
  <si>
    <t xml:space="preserve">Dach_Skos_Gora: E; Dach_Naroznik_Gora: E</t>
  </si>
  <si>
    <t xml:space="preserve">Dach_Skos_Gora: W; Dach_Naroznik_Gora: N</t>
  </si>
  <si>
    <t xml:space="preserve">Styk górnej części dachu ze szczytem.</t>
  </si>
  <si>
    <t xml:space="preserve">Dach_Skos_Gora: N; Dach_Szczyt: E, N, W, S; Dach_Szczyt_Choragiew: E, N, W, S</t>
  </si>
  <si>
    <t xml:space="preserve">Strona początku mostu zwrócona do środka.</t>
  </si>
  <si>
    <t xml:space="preserve">Most_Poczatek: E</t>
  </si>
  <si>
    <t xml:space="preserve">Strona środka mostu od strony początku.</t>
  </si>
  <si>
    <t xml:space="preserve">most_poczatek, most_srodek_do_konca</t>
  </si>
  <si>
    <t xml:space="preserve">Most_Srodek: W</t>
  </si>
  <si>
    <t xml:space="preserve">Strona środka mostu w stronę końca.</t>
  </si>
  <si>
    <t xml:space="preserve">most_srodek_od_poczatku, most_koniec</t>
  </si>
  <si>
    <t xml:space="preserve">Most_Srodek: E</t>
  </si>
  <si>
    <t xml:space="preserve">Strona końca mostu zwrócona do środka.</t>
  </si>
  <si>
    <t xml:space="preserve">Most_Koniec: W</t>
  </si>
  <si>
    <t xml:space="preserve">Strona początku albo końca mostu oparta o drzwi.</t>
  </si>
  <si>
    <t xml:space="preserve">Most_Poczatek: W; Most_Koniec: E</t>
  </si>
  <si>
    <t xml:space="preserve">Wyższy koniec schodów.</t>
  </si>
  <si>
    <t xml:space="preserve">wieza_sciana, donzon_sciana</t>
  </si>
  <si>
    <t xml:space="preserve">Schody: N</t>
  </si>
  <si>
    <t xml:space="preserve">Strona powietrza nad schodami zwrócona do drzwi.</t>
  </si>
  <si>
    <t xml:space="preserve">Powietrze_Nad_Schodami: N</t>
  </si>
  <si>
    <t xml:space="preserve">pion</t>
  </si>
  <si>
    <t xml:space="preserve">bez obrotu</t>
  </si>
  <si>
    <t xml:space="preserve">Kafelek stoi na dnie siatki (tylko najniższy poziom).</t>
  </si>
  <si>
    <t xml:space="preserve">Teren_Trawa: dół; Teren_Trawa_V2: dół; Teren_Trawa_Skladowisko: dół; Teren_Trawa_Woz: dół; Teren_Trawa_Studnia: dół; Schody: dół; Mur_Dol: dół; Mur_Dol_Beczki: dół; Mur_Dol_Skrzynie: dół; Brama_Dol: dół; Brama_Dol_Pochodnie: dół; Mur_Naroznik_Dol: dół; Wieza_Podstawa: dół; Donzon_Sciana_Parter: dół; Donzon_Okno_Parter: dół; Donzon_Naroznik_Parter: dół; Donzon_Posadzka: dół</t>
  </si>
  <si>
    <t xml:space="preserve">Jako góra: nad kafelkiem tylko zwykłe Powietrze. Jako dół: Powietrze stoi na górze „powietrze” albo „puste”.</t>
  </si>
  <si>
    <t xml:space="preserve">powietrze, puste (pod spodem)</t>
  </si>
  <si>
    <t xml:space="preserve">Teren_Trawa: góra; Teren_Trawa_V2: góra; Teren_Trawa_Skladowisko: góra; Teren_Trawa_Woz: góra; Teren_Trawa_Studnia: góra; Powietrze: dół; Powietrze_Nad_Schodami: góra; Mur_Gora: góra; Mur_Gora_V2: góra; Brama_Gora: góra; Mur_Gora_Przejscie: góra; Mur_Naroznik_Gora: góra; Wieza_Szczyt: góra; Wieza_Szczyt_Choragiew: góra; Wieza_Dach_Gora: góra; Dach_Skos_Gora: góra; Dach_Naroznik_Gora: góra; Dach_Szczyt: góra; Dach_Szczyt_Choragiew: góra; Most_Poczatek: góra; Most_Srodek: góra; Most_Koniec: góra</t>
  </si>
  <si>
    <t xml:space="preserve">Góra Powietrza: może na niej stanąć Powietrze albo most. Dół mostu: most stoi tylko na Powietrzu.</t>
  </si>
  <si>
    <t xml:space="preserve">puste, powietrze (nad spodem)</t>
  </si>
  <si>
    <t xml:space="preserve">Powietrze: góra; Most_Poczatek: dół; Most_Srodek: dół; Most_Koniec: dół</t>
  </si>
  <si>
    <t xml:space="preserve">ten sam obrót</t>
  </si>
  <si>
    <t xml:space="preserve">Części muru jedna na drugiej (dół → środki → góra).</t>
  </si>
  <si>
    <t xml:space="preserve">kolumna_muru* – ten sam obrót</t>
  </si>
  <si>
    <t xml:space="preserve">Mur_Dol: góra; Mur_Dol_Beczki: góra; Mur_Dol_Skrzynie: góra; Brama_Dol: góra; Brama_Dol_Pochodnie: góra; Mur_Srodek: góra, dół; Mur_Srodek_V2: góra, dół; Mur_Srodek_V3: góra, dół; Mur_Gora: dół; Mur_Gora_V2: dół; Brama_Gora: dół; Mur_Gora_Przejscie: dół</t>
  </si>
  <si>
    <t xml:space="preserve">Części narożnika muru jedna na drugiej.</t>
  </si>
  <si>
    <t xml:space="preserve">kolumna_naroznika_muru* – ten sam obrót</t>
  </si>
  <si>
    <t xml:space="preserve">Mur_Naroznik_Dol: góra; Mur_Naroznik_Srodek: góra, dół; Mur_Naroznik_Gora: dół</t>
  </si>
  <si>
    <t xml:space="preserve">Piętra tej samej ćwiartki wieży.</t>
  </si>
  <si>
    <t xml:space="preserve">kolumna_wiezy* – ten sam obrót</t>
  </si>
  <si>
    <t xml:space="preserve">Wieza_Podstawa: góra; Wieza_Srodek: góra, dół; Wieza_Strzelnica: góra, dół; Wieza_Wejscie: góra, dół; Wieza_Szczyt: dół; Wieza_Szczyt_Choragiew: dół; Wieza_Dach: dół</t>
  </si>
  <si>
    <t xml:space="preserve">Dół dachu wieży → iglica.</t>
  </si>
  <si>
    <t xml:space="preserve">kolumna_dachu_wiezy* – ten sam obrót</t>
  </si>
  <si>
    <t xml:space="preserve">Wieza_Dach: góra; Wieza_Dach_Gora: dół</t>
  </si>
  <si>
    <t xml:space="preserve">Ściany donżonu jedna na drugiej → spadek dachu.</t>
  </si>
  <si>
    <t xml:space="preserve">kolumna_sciany_donzonu* – ten sam obrót</t>
  </si>
  <si>
    <t xml:space="preserve">Donzon_Sciana_Parter: góra; Donzon_Okno_Parter: góra; Donzon_Sciana: góra, dół; Donzon_Okno: góra, dół; Donzon_Drzwi: góra, dół; Donzon_Drzwi_Pochodnie: góra, dół; Dach_Skos: dół</t>
  </si>
  <si>
    <t xml:space="preserve">Narożniki donżonu jeden na drugim → narożnik dachu.</t>
  </si>
  <si>
    <t xml:space="preserve">kolumna_naroznika_donzonu* – ten sam obrót</t>
  </si>
  <si>
    <t xml:space="preserve">Donzon_Naroznik_Parter: góra; Donzon_Naroznik: góra, dół; Dach_Naroznik: dół</t>
  </si>
  <si>
    <t xml:space="preserve">Wnętrze donżonu → szczyt dachu.</t>
  </si>
  <si>
    <t xml:space="preserve">Donzon_Posadzka: góra; Donzon_Wnetrze: góra, dół; Dach_Szczyt: dół; Dach_Szczyt_Choragiew: dół</t>
  </si>
  <si>
    <t xml:space="preserve">Dolny spadek dachu → górny spadek.</t>
  </si>
  <si>
    <t xml:space="preserve">kolumna_spadku_dachu* – ten sam obrót</t>
  </si>
  <si>
    <t xml:space="preserve">Dach_Skos: góra; Dach_Skos_Gora: dół</t>
  </si>
  <si>
    <t xml:space="preserve">Dolny narożnik dachu → górny narożnik.</t>
  </si>
  <si>
    <t xml:space="preserve">kolumna_naroznika_dachu* – ten sam obrót</t>
  </si>
  <si>
    <t xml:space="preserve">Dach_Naroznik: góra; Dach_Naroznik_Gora: dół</t>
  </si>
  <si>
    <t xml:space="preserve">Schody → powietrze nad schodami.</t>
  </si>
  <si>
    <t xml:space="preserve">nad_schodami* – ten sam obrót</t>
  </si>
  <si>
    <t xml:space="preserve">Schody: góra; Powietrze_Nad_Schodami: dół</t>
  </si>
  <si>
    <t xml:space="preserve">Zgodność etykiet bocznych</t>
  </si>
  <si>
    <t xml:space="preserve">✓ = te dwie etykiety mogą się stykać. Tabela jest symetryczna. Ostatnia kolumna liczy pasujące etykiety.</t>
  </si>
  <si>
    <t xml:space="preserve">Liczba pasujących</t>
  </si>
  <si>
    <t xml:space="preserve">✓</t>
  </si>
  <si>
    <t xml:space="preserve">Co może stać nad czym</t>
  </si>
  <si>
    <t xml:space="preserve">Pionowo pasują identyczne etykiety; przy etykietach z gwiazdką kostka nad i pod musi mieć ten sam obrót. Na górze Powietrza („puste”) może stać Powietrze albo most.</t>
  </si>
  <si>
    <t xml:space="preserve">Ten sam obrót</t>
  </si>
  <si>
    <t xml:space="preserve">Może stać na</t>
  </si>
  <si>
    <t xml:space="preserve">Może mieć nad sobą</t>
  </si>
  <si>
    <t xml:space="preserve">nie</t>
  </si>
  <si>
    <t xml:space="preserve">dno siatki (najniższy poziom)</t>
  </si>
  <si>
    <t xml:space="preserve">tak</t>
  </si>
  <si>
    <t xml:space="preserve">Teren_Trawa, Teren_Trawa_V2, Teren_Trawa_Skladowisko, Teren_Trawa_Woz, Teren_Trawa_Studnia, Powietrze, Powietrze_Nad_Schodami, Mur_Gora, Mur_Gora_V2, Brama_Gora, Mur_Gora_Przejscie, Mur_Naroznik_Gora, Wieza_Szczyt, Wieza_Szczyt_Choragiew, Wieza_Dach_Gora, Dach_Skos_Gora, Dach_Naroznik_Gora, Dach_Szczyt, Dach_Szczyt_Choragiew, Most_Poczatek, Most_Srodek, Most_Koniec</t>
  </si>
  <si>
    <t xml:space="preserve">Powietrze, Most_Poczatek, Most_Srodek, Most_Koniec</t>
  </si>
  <si>
    <t xml:space="preserve">Mur_Srodek, Mur_Srodek_V2, Mur_Srodek_V3, Mur_Gora, Mur_Gora_V2, Brama_Gora, Mur_Gora_Przejscie</t>
  </si>
  <si>
    <t xml:space="preserve">Mur_Dol, Mur_Dol_Beczki, Mur_Dol_Skrzynie, Brama_Dol, Brama_Dol_Pochodnie, Mur_Srodek, Mur_Srodek_V2, Mur_Srodek_V3</t>
  </si>
  <si>
    <t xml:space="preserve">Mur_Naroznik_Srodek, Mur_Naroznik_Gora</t>
  </si>
  <si>
    <t xml:space="preserve">Mur_Naroznik_Dol, Mur_Naroznik_Srodek</t>
  </si>
  <si>
    <t xml:space="preserve">Wieza_Srodek, Wieza_Strzelnica, Wieza_Wejscie, Wieza_Szczyt, Wieza_Szczyt_Choragiew, Wieza_Dach</t>
  </si>
  <si>
    <t xml:space="preserve">Wieza_Podstawa, Wieza_Srodek, Wieza_Strzelnica, Wieza_Wejscie</t>
  </si>
  <si>
    <t xml:space="preserve">Donzon_Sciana, Donzon_Okno, Donzon_Drzwi, Donzon_Drzwi_Pochodnie, Dach_Skos</t>
  </si>
  <si>
    <t xml:space="preserve">Donzon_Naroznik, Dach_Naroznik</t>
  </si>
  <si>
    <t xml:space="preserve">Donzon_Wnetrze, Dach_Szczyt, Dach_Szczyt_Choragiew</t>
  </si>
  <si>
    <t xml:space="preserve">Donzon_Sciana_Parter, Donzon_Okno_Parter, Donzon_Sciana, Donzon_Okno, Donzon_Drzwi, Donzon_Drzwi_Pochodnie</t>
  </si>
  <si>
    <t xml:space="preserve">Donzon_Naroznik_Parter, Donzon_Naroznik</t>
  </si>
  <si>
    <t xml:space="preserve">Donzon_Posadzka, Donzon_Wnetrze</t>
  </si>
  <si>
    <t xml:space="preserve">Kto może stać obok kogo</t>
  </si>
  <si>
    <t xml:space="preserve">Kafelek w obrocie 0°; przy sąsiadach podano ich obroty. Lista bierze pod uwagę styk boczny i to, czy oba kafelki mogą być na tym samym poziomie (parter albo wyżej). Dodatkowo muszą pasować kostki nad i pod – np. schody mogą stykać się bokiem z narożnikiem donżonu, ale i tak tam nie staną, bo nad narożnikiem nie ma drzwi.</t>
  </si>
  <si>
    <t xml:space="preserve">Strona</t>
  </si>
  <si>
    <t xml:space="preserve">Może stać obok</t>
  </si>
  <si>
    <t xml:space="preserve">E</t>
  </si>
  <si>
    <t xml:space="preserve">Teren_Trawa; Teren_Trawa_V2; Teren_Trawa_Skladowisko; Teren_Trawa_Woz; Teren_Trawa_Studnia; Schody (0°, 180°, 270°); Mur_Dol (90°, 270°); Mur_Dol_Beczki (90°, 270°); Mur_Dol_Skrzynie (90°, 270°); Brama_Dol (90°, 270°); Brama_Dol_Pochodnie (90°, 270°); Mur_Naroznik_Dol (0°, 270°); Wieza_Podstawa (0°, 270°); Donzon_Sciana_Parter (270°); Donzon_Okno_Parter (270°); Donzon_Naroznik_Parter (0°, 270°)</t>
  </si>
  <si>
    <t xml:space="preserve">N</t>
  </si>
  <si>
    <t xml:space="preserve">Teren_Trawa; Teren_Trawa_V2; Teren_Trawa_Skladowisko; Teren_Trawa_Woz; Teren_Trawa_Studnia; Schody (0°, 90°, 270°); Mur_Dol (0°, 180°); Mur_Dol_Beczki (0°, 180°); Mur_Dol_Skrzynie (0°, 180°); Brama_Dol (0°, 180°); Brama_Dol_Pochodnie (0°, 180°); Mur_Naroznik_Dol (0°, 90°); Wieza_Podstawa (0°, 90°); Donzon_Sciana_Parter (0°); Donzon_Okno_Parter (0°); Donzon_Naroznik_Parter (0°, 90°)</t>
  </si>
  <si>
    <t xml:space="preserve">W</t>
  </si>
  <si>
    <t xml:space="preserve">Teren_Trawa; Teren_Trawa_V2; Teren_Trawa_Skladowisko; Teren_Trawa_Woz; Teren_Trawa_Studnia; Schody (0°, 90°, 180°); Mur_Dol (90°, 270°); Mur_Dol_Beczki (90°, 270°); Mur_Dol_Skrzynie (90°, 270°); Brama_Dol (90°, 270°); Brama_Dol_Pochodnie (90°, 270°); Mur_Naroznik_Dol (90°, 180°); Wieza_Podstawa (90°, 180°); Donzon_Sciana_Parter (90°); Donzon_Okno_Parter (90°); Donzon_Naroznik_Parter (90°, 180°)</t>
  </si>
  <si>
    <t xml:space="preserve">S</t>
  </si>
  <si>
    <t xml:space="preserve">Teren_Trawa; Teren_Trawa_V2; Teren_Trawa_Skladowisko; Teren_Trawa_Woz; Teren_Trawa_Studnia; Schody (90°, 180°, 270°); Mur_Dol (0°, 180°); Mur_Dol_Beczki (0°, 180°); Mur_Dol_Skrzynie (0°, 180°); Brama_Dol (0°, 180°); Brama_Dol_Pochodnie (0°, 180°); Mur_Naroznik_Dol (180°, 270°); Wieza_Podstawa (180°, 270°); Donzon_Sciana_Parter (180°); Donzon_Okno_Parter (180°); Donzon_Naroznik_Parter (180°, 270°)</t>
  </si>
  <si>
    <t xml:space="preserve">Wieza_Podstawa (0°, 90°); Donzon_Sciana_Parter (0°); Donzon_Okno_Parter (0°); Donzon_Naroznik_Parter (0°, 90°)</t>
  </si>
  <si>
    <t xml:space="preserve">Powietrze; Powietrze_Nad_Schodami (0°, 180°, 270°); Mur_Srodek (90°, 270°); Mur_Srodek_V2 (90°, 270°); Mur_Srodek_V3 (90°, 270°); Mur_Gora (90°, 270°); Mur_Gora_V2 (90°, 270°); Brama_Gora (90°, 270°); Mur_Gora_Przejscie (270°); Mur_Naroznik_Srodek (0°, 270°); Mur_Naroznik_Gora (0°, 270°); Wieza_Srodek (0°, 270°); Wieza_Strzelnica (0°, 270°); Wieza_Wejscie (0°); Wieza_Szczyt (0°, 270°); Wieza_Szczyt_Choragiew (0°, 270°); Wieza_Dach (0°, 270°); Wieza_Dach_Gora (0°, 270°); Donzon_Sciana (270°); Donzon_Okno (270°); Donzon_Naroznik (0°, 270°); Dach_Skos (270°); Dach_Naroznik (0°, 270°); Dach_Skos_Gora (270°); Dach_Naroznik_Gora (0°, 270°); Most_Poczatek (90°, 270°); Most_Srodek (90°, 270°); Most_Koniec (90°, 270°)</t>
  </si>
  <si>
    <t xml:space="preserve">Powietrze; Powietrze_Nad_Schodami (0°, 90°, 270°); Mur_Srodek (0°, 180°); Mur_Srodek_V2 (0°, 180°); Mur_Srodek_V3 (0°, 180°); Mur_Gora (0°, 180°); Mur_Gora_V2 (0°, 180°); Brama_Gora (0°, 180°); Mur_Gora_Przejscie (0°); Mur_Naroznik_Srodek (0°, 90°); Mur_Naroznik_Gora (0°, 90°); Wieza_Srodek (0°, 90°); Wieza_Strzelnica (0°, 90°); Wieza_Wejscie (90°); Wieza_Szczyt (0°, 90°); Wieza_Szczyt_Choragiew (0°, 90°); Wieza_Dach (0°, 90°); Wieza_Dach_Gora (0°, 90°); Donzon_Sciana (0°); Donzon_Okno (0°); Donzon_Naroznik (0°, 90°); Dach_Skos (0°); Dach_Naroznik (0°, 90°); Dach_Skos_Gora (0°); Dach_Naroznik_Gora (0°, 90°); Most_Poczatek (0°, 180°); Most_Srodek (0°, 180°); Most_Koniec (0°, 180°)</t>
  </si>
  <si>
    <t xml:space="preserve">Powietrze; Powietrze_Nad_Schodami (0°, 90°, 180°); Mur_Srodek (90°, 270°); Mur_Srodek_V2 (90°, 270°); Mur_Srodek_V3 (90°, 270°); Mur_Gora (90°, 270°); Mur_Gora_V2 (90°, 270°); Brama_Gora (90°, 270°); Mur_Gora_Przejscie (90°); Mur_Naroznik_Srodek (90°, 180°); Mur_Naroznik_Gora (90°, 180°); Wieza_Srodek (90°, 180°); Wieza_Strzelnica (90°, 180°); Wieza_Wejscie (180°); Wieza_Szczyt (90°, 180°); Wieza_Szczyt_Choragiew (90°, 180°); Wieza_Dach (90°, 180°); Wieza_Dach_Gora (90°, 180°); Donzon_Sciana (90°); Donzon_Okno (90°); Donzon_Naroznik (90°, 180°); Dach_Skos (90°); Dach_Naroznik (90°, 180°); Dach_Skos_Gora (90°); Dach_Naroznik_Gora (90°, 180°); Most_Poczatek (90°, 270°); Most_Srodek (90°, 270°); Most_Koniec (90°, 270°)</t>
  </si>
  <si>
    <t xml:space="preserve">Powietrze; Powietrze_Nad_Schodami (90°, 180°, 270°); Mur_Srodek (0°, 180°); Mur_Srodek_V2 (0°, 180°); Mur_Srodek_V3 (0°, 180°); Mur_Gora (0°, 180°); Mur_Gora_V2 (0°, 180°); Brama_Gora (0°, 180°); Mur_Gora_Przejscie (180°); Mur_Naroznik_Srodek (180°, 270°); Mur_Naroznik_Gora (180°, 270°); Wieza_Srodek (180°, 270°); Wieza_Strzelnica (180°, 270°); Wieza_Wejscie (270°); Wieza_Szczyt (180°, 270°); Wieza_Szczyt_Choragiew (180°, 270°); Wieza_Dach (180°, 270°); Wieza_Dach_Gora (180°, 270°); Donzon_Sciana (180°); Donzon_Okno (180°); Donzon_Naroznik (180°, 270°); Dach_Skos (180°); Dach_Naroznik (180°, 270°); Dach_Skos_Gora (180°); Dach_Naroznik_Gora (180°, 270°); Most_Poczatek (0°, 180°); Most_Srodek (0°, 180°); Most_Koniec (0°, 180°)</t>
  </si>
  <si>
    <t xml:space="preserve">Mur_Gora_Przejscie (180°); Wieza_Wejscie (0°); Donzon_Drzwi (0°); Donzon_Drzwi_Pochodnie (0°)</t>
  </si>
  <si>
    <t xml:space="preserve">Mur_Dol (0°); Mur_Dol_Beczki (0°); Mur_Dol_Skrzynie (0°); Brama_Dol (0°); Brama_Dol_Pochodnie (0°); Mur_Naroznik_Dol (90°); Wieza_Podstawa (0°, 270°)</t>
  </si>
  <si>
    <t xml:space="preserve">Teren_Trawa; Teren_Trawa_V2; Teren_Trawa_Skladowisko; Teren_Trawa_Woz; Teren_Trawa_Studnia; Schody (0°, 90°, 270°)</t>
  </si>
  <si>
    <t xml:space="preserve">Mur_Dol (0°); Mur_Dol_Beczki (0°); Mur_Dol_Skrzynie (0°); Brama_Dol (0°); Brama_Dol_Pochodnie (0°); Mur_Naroznik_Dol (0°); Wieza_Podstawa (90°, 180°)</t>
  </si>
  <si>
    <t xml:space="preserve">Teren_Trawa; Teren_Trawa_V2; Teren_Trawa_Skladowisko; Teren_Trawa_Woz; Teren_Trawa_Studnia; Schody (90°, 180°, 270°)</t>
  </si>
  <si>
    <t xml:space="preserve">Mur_Srodek (0°, 180°); Mur_Srodek_V2 (0°, 180°); Mur_Srodek_V3 (0°, 180°); Mur_Naroznik_Srodek (90°, 180°); Wieza_Srodek (0°, 270°); Wieza_Strzelnica (0°, 270°); Wieza_Wejscie (0°); Wieza_Szczyt (0°, 270°); Wieza_Szczyt_Choragiew (0°, 270°)</t>
  </si>
  <si>
    <t xml:space="preserve">Powietrze; Powietrze_Nad_Schodami (0°, 90°, 270°); Wieza_Dach_Gora (0°, 90°); Dach_Skos_Gora (0°); Dach_Naroznik_Gora (0°, 90°); Most_Poczatek (0°, 180°); Most_Srodek (0°, 180°); Most_Koniec (0°, 180°)</t>
  </si>
  <si>
    <t xml:space="preserve">Mur_Srodek (0°, 180°); Mur_Srodek_V2 (0°, 180°); Mur_Srodek_V3 (0°, 180°); Mur_Naroznik_Srodek (0°, 270°); Wieza_Srodek (90°, 180°); Wieza_Strzelnica (90°, 180°); Wieza_Wejscie (180°); Wieza_Szczyt (90°, 180°); Wieza_Szczyt_Choragiew (90°, 180°)</t>
  </si>
  <si>
    <t xml:space="preserve">Powietrze; Powietrze_Nad_Schodami (90°, 180°, 270°); Wieza_Dach_Gora (180°, 270°); Dach_Skos_Gora (180°); Dach_Naroznik_Gora (180°, 270°); Most_Poczatek (0°, 180°); Most_Srodek (0°, 180°); Most_Koniec (0°, 180°)</t>
  </si>
  <si>
    <t xml:space="preserve">Mur_Gora (0°); Mur_Gora_V2 (0°); Brama_Gora (0°); Mur_Gora_Przejscie (0°); Mur_Naroznik_Gora (90°); Wieza_Srodek (0°, 270°); Wieza_Strzelnica (0°, 270°); Wieza_Wejscie (0°); Wieza_Szczyt (0°, 270°); Wieza_Szczyt_Choragiew (0°, 270°)</t>
  </si>
  <si>
    <t xml:space="preserve">Mur_Gora (0°); Mur_Gora_V2 (0°); Brama_Gora (0°); Mur_Gora_Przejscie (0°); Mur_Naroznik_Gora (0°); Wieza_Srodek (90°, 180°); Wieza_Strzelnica (90°, 180°); Wieza_Wejscie (180°); Wieza_Szczyt (90°, 180°); Wieza_Szczyt_Choragiew (90°, 180°)</t>
  </si>
  <si>
    <t xml:space="preserve">Powietrze_Nad_Schodami (180°); Most_Poczatek (90°); Most_Koniec (270°)</t>
  </si>
  <si>
    <t xml:space="preserve">Mur_Dol (270°); Mur_Dol_Beczki (270°); Mur_Dol_Skrzynie (270°); Brama_Dol (270°); Brama_Dol_Pochodnie (270°); Mur_Naroznik_Dol (270°); Wieza_Podstawa (0°, 90°)</t>
  </si>
  <si>
    <t xml:space="preserve">Teren_Trawa; Teren_Trawa_V2; Teren_Trawa_Skladowisko; Teren_Trawa_Woz; Teren_Trawa_Studnia; Schody (0°, 90°, 180°)</t>
  </si>
  <si>
    <t xml:space="preserve">Mur_Srodek (90°, 270°); Mur_Srodek_V2 (90°, 270°); Mur_Srodek_V3 (90°, 270°); Mur_Naroznik_Srodek (180°, 270°); Wieza_Srodek (0°, 90°); Wieza_Strzelnica (0°, 90°); Wieza_Wejscie (90°); Wieza_Szczyt (0°, 90°); Wieza_Szczyt_Choragiew (0°, 90°)</t>
  </si>
  <si>
    <t xml:space="preserve">Powietrze; Powietrze_Nad_Schodami (0°, 90°, 180°); Wieza_Dach_Gora (90°, 180°); Dach_Skos_Gora (90°); Dach_Naroznik_Gora (90°, 180°); Most_Poczatek (90°, 270°); Most_Srodek (90°, 270°); Most_Koniec (90°, 270°)</t>
  </si>
  <si>
    <t xml:space="preserve">Mur_Gora (270°); Mur_Gora_V2 (270°); Brama_Gora (270°); Mur_Gora_Przejscie (270°); Mur_Naroznik_Gora (270°); Wieza_Srodek (0°, 90°); Wieza_Strzelnica (0°, 90°); Wieza_Wejscie (90°); Wieza_Szczyt (0°, 90°); Wieza_Szczyt_Choragiew (0°, 90°)</t>
  </si>
  <si>
    <t xml:space="preserve">Wieza_Podstawa (90°)</t>
  </si>
  <si>
    <t xml:space="preserve">Wieza_Podstawa (270°)</t>
  </si>
  <si>
    <t xml:space="preserve">Teren_Trawa; Teren_Trawa_V2; Teren_Trawa_Skladowisko; Teren_Trawa_Woz; Teren_Trawa_Studnia; Schody (0°, 90°, 180°, 270°); Mur_Dol (0°, 180°); Mur_Dol_Beczki (0°, 180°); Mur_Dol_Skrzynie (0°, 180°); Brama_Dol (0°, 180°); Brama_Dol_Pochodnie (0°, 180°); Mur_Naroznik_Dol (0°, 270°)</t>
  </si>
  <si>
    <t xml:space="preserve">Teren_Trawa; Teren_Trawa_V2; Teren_Trawa_Skladowisko; Teren_Trawa_Woz; Teren_Trawa_Studnia; Schody (0°, 90°, 180°, 270°); Mur_Dol (90°, 270°); Mur_Dol_Beczki (90°, 270°); Mur_Dol_Skrzynie (90°, 270°); Brama_Dol (90°, 270°); Brama_Dol_Pochodnie (90°, 270°); Mur_Naroznik_Dol (0°, 90°)</t>
  </si>
  <si>
    <t xml:space="preserve">Wieza_Srodek (90°); Wieza_Strzelnica (90°); Wieza_Wejscie (90°)</t>
  </si>
  <si>
    <t xml:space="preserve">Wieza_Srodek (270°); Wieza_Strzelnica (270°); Wieza_Wejscie (270°)</t>
  </si>
  <si>
    <t xml:space="preserve">Powietrze; Powietrze_Nad_Schodami (0°, 90°, 180°); Mur_Srodek (0°, 180°); Mur_Srodek_V2 (0°, 180°); Mur_Srodek_V3 (0°, 180°); Mur_Gora (0°, 180°); Mur_Gora_V2 (0°, 180°); Brama_Gora (0°, 180°); Mur_Gora_Przejscie (0°, 180°); Mur_Naroznik_Srodek (0°, 270°); Mur_Naroznik_Gora (0°, 270°); Wieza_Dach_Gora (90°, 180°); Dach_Skos_Gora (90°); Dach_Naroznik_Gora (90°, 180°); Most_Poczatek (90°, 270°); Most_Srodek (90°, 270°); Most_Koniec (90°, 270°)</t>
  </si>
  <si>
    <t xml:space="preserve">Powietrze; Powietrze_Nad_Schodami (90°, 180°, 270°); Mur_Srodek (90°, 270°); Mur_Srodek_V2 (90°, 270°); Mur_Srodek_V3 (90°, 270°); Mur_Gora (90°, 270°); Mur_Gora_V2 (90°, 270°); Brama_Gora (90°, 270°); Mur_Gora_Przejscie (90°, 270°); Mur_Naroznik_Srodek (0°, 90°); Mur_Naroznik_Gora (0°, 90°); Wieza_Dach_Gora (180°, 270°); Dach_Skos_Gora (180°); Dach_Naroznik_Gora (180°, 270°); Most_Poczatek (0°, 180°); Most_Srodek (0°, 180°); Most_Koniec (0°, 180°)</t>
  </si>
  <si>
    <t xml:space="preserve">Powietrze_Nad_Schodami (0°); Most_Poczatek (270°); Most_Koniec (90°)</t>
  </si>
  <si>
    <t xml:space="preserve">Wieza_Szczyt (90°); Wieza_Szczyt_Choragiew (90°)</t>
  </si>
  <si>
    <t xml:space="preserve">Wieza_Szczyt (270°); Wieza_Szczyt_Choragiew (270°)</t>
  </si>
  <si>
    <t xml:space="preserve">Wieza_Dach (90°)</t>
  </si>
  <si>
    <t xml:space="preserve">Wieza_Dach (270°)</t>
  </si>
  <si>
    <t xml:space="preserve">Wieza_Dach_Gora (90°)</t>
  </si>
  <si>
    <t xml:space="preserve">Wieza_Dach_Gora (270°)</t>
  </si>
  <si>
    <t xml:space="preserve">Donzon_Sciana_Parter (0°); Donzon_Okno_Parter (0°); Donzon_Naroznik_Parter (90°)</t>
  </si>
  <si>
    <t xml:space="preserve">Donzon_Sciana_Parter (180°); Donzon_Okno_Parter (180°); Donzon_Posadzka</t>
  </si>
  <si>
    <t xml:space="preserve">Donzon_Sciana_Parter (0°); Donzon_Okno_Parter (0°); Donzon_Naroznik_Parter (0°)</t>
  </si>
  <si>
    <t xml:space="preserve">Teren_Trawa; Teren_Trawa_V2; Teren_Trawa_Skladowisko; Teren_Trawa_Woz; Teren_Trawa_Studnia; Schody (0°, 90°, 180°, 270°)</t>
  </si>
  <si>
    <t xml:space="preserve">Donzon_Sciana_Parter (270°); Donzon_Okno_Parter (270°); Donzon_Naroznik_Parter (270°)</t>
  </si>
  <si>
    <t xml:space="preserve">Donzon_Sciana_Parter (90°); Donzon_Okno_Parter (90°); Donzon_Posadzka</t>
  </si>
  <si>
    <t xml:space="preserve">Donzon_Sciana_Parter (270°); Donzon_Okno_Parter (270°); Donzon_Posadzka</t>
  </si>
  <si>
    <t xml:space="preserve">Donzon_Sciana_Parter (0°); Donzon_Okno_Parter (0°); Donzon_Posadzka</t>
  </si>
  <si>
    <t xml:space="preserve">Donzon_Sciana (0°); Donzon_Okno (0°); Donzon_Drzwi (0°); Donzon_Drzwi_Pochodnie (0°); Donzon_Naroznik (90°)</t>
  </si>
  <si>
    <t xml:space="preserve">Donzon_Sciana (180°); Donzon_Okno (180°); Donzon_Drzwi (180°); Donzon_Drzwi_Pochodnie (180°); Donzon_Wnetrze; Dach_Skos (180°)</t>
  </si>
  <si>
    <t xml:space="preserve">Donzon_Sciana (0°); Donzon_Okno (0°); Donzon_Drzwi (0°); Donzon_Drzwi_Pochodnie (0°); Donzon_Naroznik (0°)</t>
  </si>
  <si>
    <t xml:space="preserve">Donzon_Sciana (270°); Donzon_Okno (270°); Donzon_Drzwi (270°); Donzon_Drzwi_Pochodnie (270°); Donzon_Naroznik (270°)</t>
  </si>
  <si>
    <t xml:space="preserve">Donzon_Sciana (90°); Donzon_Okno (90°); Donzon_Drzwi (90°); Donzon_Drzwi_Pochodnie (90°); Donzon_Wnetrze; Dach_Skos (90°)</t>
  </si>
  <si>
    <t xml:space="preserve">Donzon_Sciana (270°); Donzon_Okno (270°); Donzon_Drzwi (270°); Donzon_Drzwi_Pochodnie (270°); Donzon_Wnetrze; Dach_Skos (270°)</t>
  </si>
  <si>
    <t xml:space="preserve">Donzon_Sciana (0°); Donzon_Okno (0°); Donzon_Drzwi (0°); Donzon_Drzwi_Pochodnie (0°); Donzon_Wnetrze; Dach_Skos (0°)</t>
  </si>
  <si>
    <t xml:space="preserve">Dach_Skos (0°); Dach_Naroznik (90°)</t>
  </si>
  <si>
    <t xml:space="preserve">Dach_Skos (0°); Dach_Naroznik (0°)</t>
  </si>
  <si>
    <t xml:space="preserve">Dach_Skos (270°); Dach_Naroznik (270°)</t>
  </si>
  <si>
    <t xml:space="preserve">Dach_Skos_Gora (0°); Dach_Naroznik_Gora (90°)</t>
  </si>
  <si>
    <t xml:space="preserve">Dach_Skos_Gora (180°); Dach_Szczyt; Dach_Szczyt_Choragiew</t>
  </si>
  <si>
    <t xml:space="preserve">Dach_Skos_Gora (0°); Dach_Naroznik_Gora (0°)</t>
  </si>
  <si>
    <t xml:space="preserve">Dach_Skos_Gora (270°); Dach_Naroznik_Gora (270°)</t>
  </si>
  <si>
    <t xml:space="preserve">Dach_Skos_Gora (90°); Dach_Szczyt; Dach_Szczyt_Choragiew</t>
  </si>
  <si>
    <t xml:space="preserve">Dach_Skos_Gora (270°); Dach_Szczyt; Dach_Szczyt_Choragiew</t>
  </si>
  <si>
    <t xml:space="preserve">Dach_Skos_Gora (0°); Dach_Szczyt; Dach_Szczyt_Choragiew</t>
  </si>
  <si>
    <t xml:space="preserve">Most_Srodek (0°)</t>
  </si>
  <si>
    <t xml:space="preserve">Mur_Gora_Przejscie (270°); Wieza_Wejscie (90°); Donzon_Drzwi (90°); Donzon_Drzwi_Pochodnie (90°)</t>
  </si>
  <si>
    <t xml:space="preserve">Most_Srodek (0°); Most_Koniec (0°)</t>
  </si>
  <si>
    <t xml:space="preserve">Most_Poczatek (0°); Most_Srodek (0°)</t>
  </si>
  <si>
    <t xml:space="preserve">Mur_Gora_Przejscie (90°); Wieza_Wejscie (270°); Donzon_Drzwi (270°); Donzon_Drzwi_Pochodnie (270°)</t>
  </si>
  <si>
    <t xml:space="preserve">Wagi losowania</t>
  </si>
  <si>
    <t xml:space="preserve">Niebieskie liczby można zmieniać, reszta przelicza się sama. Waga łączna = waga × liczba obrotów. Udział wśród wariantów = jak często kafelek wypada spośród kostek tej samej roli, np. trawa z wozem wśród całej trawy (bez wpływu sąsiadów).</t>
  </si>
  <si>
    <t xml:space="preserve">Rola (warianty zamienne)</t>
  </si>
  <si>
    <t xml:space="preserve">Waga łączna</t>
  </si>
  <si>
    <t xml:space="preserve">Udział wśród wariantów</t>
  </si>
  <si>
    <t xml:space="preserve">teren</t>
  </si>
  <si>
    <t xml:space="preserve">schody</t>
  </si>
  <si>
    <t xml:space="preserve">powietrze nad schodami</t>
  </si>
  <si>
    <t xml:space="preserve">dół muru</t>
  </si>
  <si>
    <t xml:space="preserve">środek muru</t>
  </si>
  <si>
    <t xml:space="preserve">góra muru</t>
  </si>
  <si>
    <t xml:space="preserve">dół narożnika</t>
  </si>
  <si>
    <t xml:space="preserve">środek narożnika</t>
  </si>
  <si>
    <t xml:space="preserve">góra narożnika</t>
  </si>
  <si>
    <t xml:space="preserve">podstawa wieży</t>
  </si>
  <si>
    <t xml:space="preserve">piętro wieży</t>
  </si>
  <si>
    <t xml:space="preserve">blanki wieży</t>
  </si>
  <si>
    <t xml:space="preserve">dach wieży</t>
  </si>
  <si>
    <t xml:space="preserve">iglica wieży</t>
  </si>
  <si>
    <t xml:space="preserve">ściana donżonu, parter</t>
  </si>
  <si>
    <t xml:space="preserve">narożnik donżonu, parter</t>
  </si>
  <si>
    <t xml:space="preserve">wnętrze donżonu, parter</t>
  </si>
  <si>
    <t xml:space="preserve">ściana donżonu, piętro</t>
  </si>
  <si>
    <t xml:space="preserve">narożnik donżonu, piętro</t>
  </si>
  <si>
    <t xml:space="preserve">wnętrze donżonu, piętro</t>
  </si>
  <si>
    <t xml:space="preserve">spadek dachu, dół</t>
  </si>
  <si>
    <t xml:space="preserve">narożnik dachu, dół</t>
  </si>
  <si>
    <t xml:space="preserve">spadek dachu, góra</t>
  </si>
  <si>
    <t xml:space="preserve">narożnik dachu, góra</t>
  </si>
  <si>
    <t xml:space="preserve">szczyt dachu</t>
  </si>
  <si>
    <t xml:space="preserve">początek mostu</t>
  </si>
  <si>
    <t xml:space="preserve">środek mostu</t>
  </si>
  <si>
    <t xml:space="preserve">koniec mostu</t>
  </si>
  <si>
    <t xml:space="preserve">Wysokość budowli – przybliżenie z samych wag</t>
  </si>
  <si>
    <t xml:space="preserve">Na każdym kolejnym piętrze algorytm wybiera: kontynuować czy zakończyć. Szansa zakończenia = suma wag zakończeń / suma wag wszystkich możliwości. W murze i donżonie decyduje zwykle narożnik, bo ma najmniej możliwości i algorytm wybiera go pierwszy. Pomija wpływ sąsiadów, np. drzwi odpadają, gdy nie ma dla nich mostu ani schodów.</t>
  </si>
  <si>
    <t xml:space="preserve">Budowla</t>
  </si>
  <si>
    <t xml:space="preserve">Zakończenie</t>
  </si>
  <si>
    <t xml:space="preserve">Kontynuacja</t>
  </si>
  <si>
    <t xml:space="preserve">Szansa zakończenia</t>
  </si>
  <si>
    <t xml:space="preserve">Spodziewana średnia wysokość [kostki]</t>
  </si>
  <si>
    <t xml:space="preserve">Zmierzona średnia [kostki]</t>
  </si>
  <si>
    <t xml:space="preserve">Jak liczona wysokość</t>
  </si>
  <si>
    <t xml:space="preserve">podstawa + piętra + zakończenie</t>
  </si>
  <si>
    <t xml:space="preserve">Mur z narożnikiem</t>
  </si>
  <si>
    <t xml:space="preserve">dół + środki + góra</t>
  </si>
  <si>
    <t xml:space="preserve">Mur prosty</t>
  </si>
  <si>
    <t xml:space="preserve">Donżon (narożnik)</t>
  </si>
  <si>
    <t xml:space="preserve">parter + piętra + 2 kostki dachu</t>
  </si>
  <si>
    <t xml:space="preserve">„Zmierzona średnia” pochodzi z testu w zakładce Sprawdzenie (mur prosty = wszystkie mury, także z narożnikiem). Mniejsza szansa zakończenia = wyższe i bardziej zróżnicowane budowle.</t>
  </si>
  <si>
    <t xml:space="preserve">Elementy wystające poza swoją kostkę</t>
  </si>
  <si>
    <t xml:space="preserve">Wymiary zmierzone na modelach w pliku Models.blend. Kostka ma 3 × 3 × 3 m, punkt obrotu w środku podstawy.</t>
  </si>
  <si>
    <t xml:space="preserve">Model</t>
  </si>
  <si>
    <t xml:space="preserve">Którędy wychodzi</t>
  </si>
  <si>
    <t xml:space="preserve">Ile [m]</t>
  </si>
  <si>
    <t xml:space="preserve">Do której kostki</t>
  </si>
  <si>
    <t xml:space="preserve">Co gwarantują reguły</t>
  </si>
  <si>
    <t xml:space="preserve">Ocena</t>
  </si>
  <si>
    <t xml:space="preserve">w bok, na 2 zewnętrzne strony; skarpa przy ziemi, do 1,2 m wysokości</t>
  </si>
  <si>
    <t xml:space="preserve">kostka parteru obok wieży</t>
  </si>
  <si>
    <t xml:space="preserve">Obok wieży na parterze stoi tylko trawa, schody albo koniec muru.</t>
  </si>
  <si>
    <t xml:space="preserve">OK. Skarpa leży na trawie; z murem i schodami bryły się przenikają (niewidoczne). Dekoracje trawy przy samej krawędzi mogą lekko nachodzić na skarpę.</t>
  </si>
  <si>
    <t xml:space="preserve">w bok, okap na 2 zewnętrzne strony</t>
  </si>
  <si>
    <t xml:space="preserve">kostka obok, ten sam poziom</t>
  </si>
  <si>
    <t xml:space="preserve">Obok okapu zawsze powietrze.</t>
  </si>
  <si>
    <t xml:space="preserve">OK</t>
  </si>
  <si>
    <t xml:space="preserve">w bok: płat chorągwi 2,0–2,85 m nad spodem kostki; w górę: grot masztu</t>
  </si>
  <si>
    <t xml:space="preserve">0,27 w bok, 0,25 w górę</t>
  </si>
  <si>
    <t xml:space="preserve">kostka obok i kostka nad</t>
  </si>
  <si>
    <t xml:space="preserve">Obok: powietrze albo koniec muru (blanki do 1,9 m, środek muru zaczyna się 0,75 m od krawędzi). Nad blankami zawsze powietrze.</t>
  </si>
  <si>
    <t xml:space="preserve">w bok, okap na stronę S</t>
  </si>
  <si>
    <t xml:space="preserve">w bok, okap na strony W i S</t>
  </si>
  <si>
    <t xml:space="preserve">kostki obok, ten sam poziom</t>
  </si>
  <si>
    <t xml:space="preserve">do przodu: pochodnie 2,1–2,7 m nad progiem</t>
  </si>
  <si>
    <t xml:space="preserve">kostka przed drzwiami</t>
  </si>
  <si>
    <t xml:space="preserve">Przed drzwiami zawsze przyczółek mostu albo powietrze nad schodami. Balustrada mostu ma 0,95 m.</t>
  </si>
  <si>
    <t xml:space="preserve">w bok, od dziedzińca (skrzynia)</t>
  </si>
  <si>
    <t xml:space="preserve">kostka parteru obok muru</t>
  </si>
  <si>
    <t xml:space="preserve">Obok boku muru zawsze trawa.</t>
  </si>
  <si>
    <t xml:space="preserve">OK. Przy dekoracjach trawy przy samej krawędzi możliwe lekkie nachodzenie.</t>
  </si>
  <si>
    <t xml:space="preserve">w górę: daszek studni</t>
  </si>
  <si>
    <t xml:space="preserve">kostka nad</t>
  </si>
  <si>
    <t xml:space="preserve">Nad terenem zawsze tylko Powietrze.</t>
  </si>
  <si>
    <t xml:space="preserve">Most_Poczatek, Most_Koniec</t>
  </si>
  <si>
    <t xml:space="preserve">w dół: łuk</t>
  </si>
  <si>
    <t xml:space="preserve">kostka pod mostem</t>
  </si>
  <si>
    <t xml:space="preserve">Pod mostem zawsze puste Powietrze. Łuk opiera się o ścianę budynku pod drzwiami.</t>
  </si>
  <si>
    <t xml:space="preserve">w dół: spód mostu</t>
  </si>
  <si>
    <t xml:space="preserve">Pod mostem zawsze puste Powietrze.</t>
  </si>
  <si>
    <t xml:space="preserve">w dół: filar podestu od dziedzińca, szerokość 2 m</t>
  </si>
  <si>
    <t xml:space="preserve">kostka muru pod spodem</t>
  </si>
  <si>
    <t xml:space="preserve">Pod spodem może stać każdy dół albo środek muru.</t>
  </si>
  <si>
    <t xml:space="preserve">Świadomy wyjątek (decyzja z 21.10.2026): filar może wchodzić w kostkę muru pod spodem. Koliduje z: Brama_Dol i Brama_Dol_Pochodnie (filar zasłania przejazd), Mur_Dol_Beczki i Mur_Dol_Skrzynie (beczki i skrzynie wchodzą w filar). Bez kolizji: Mur_Dol, Mur_Srodek, Mur_Srodek_V3; Mur_Srodek_V2 – część kamieni chowa się w filarze. W obecnych zamkach jest 6 przejść, pod żadnym nie stoi brama ani dekoracja.</t>
  </si>
  <si>
    <t xml:space="preserve">Pozostałe modele mieszczą się w swojej kostce.</t>
  </si>
  <si>
    <t xml:space="preserve">Wszystkie stany (kafelek × obrót)</t>
  </si>
  <si>
    <t xml:space="preserve">Etykiety po obrocie. Przydatne do sprawdzenia obracania etykiet w Unity: obrót o 90° przenosi etykietę z E na N, z N na W, z W na S i z S na E.</t>
  </si>
  <si>
    <t xml:space="preserve">Obrót</t>
  </si>
  <si>
    <t xml:space="preserve">0°</t>
  </si>
  <si>
    <t xml:space="preserve">nad_schodami (0°)</t>
  </si>
  <si>
    <t xml:space="preserve">90°</t>
  </si>
  <si>
    <t xml:space="preserve">nad_schodami (90°)</t>
  </si>
  <si>
    <t xml:space="preserve">180°</t>
  </si>
  <si>
    <t xml:space="preserve">nad_schodami (180°)</t>
  </si>
  <si>
    <t xml:space="preserve">270°</t>
  </si>
  <si>
    <t xml:space="preserve">nad_schodami (270°)</t>
  </si>
  <si>
    <t xml:space="preserve">kolumna_muru (0°)</t>
  </si>
  <si>
    <t xml:space="preserve">kolumna_muru (90°)</t>
  </si>
  <si>
    <t xml:space="preserve">kolumna_muru (180°)</t>
  </si>
  <si>
    <t xml:space="preserve">kolumna_muru (270°)</t>
  </si>
  <si>
    <t xml:space="preserve">kolumna_naroznika_muru (0°)</t>
  </si>
  <si>
    <t xml:space="preserve">kolumna_naroznika_muru (90°)</t>
  </si>
  <si>
    <t xml:space="preserve">kolumna_naroznika_muru (180°)</t>
  </si>
  <si>
    <t xml:space="preserve">kolumna_naroznika_muru (270°)</t>
  </si>
  <si>
    <t xml:space="preserve">kolumna_wiezy (0°)</t>
  </si>
  <si>
    <t xml:space="preserve">kolumna_wiezy (90°)</t>
  </si>
  <si>
    <t xml:space="preserve">kolumna_wiezy (180°)</t>
  </si>
  <si>
    <t xml:space="preserve">kolumna_wiezy (270°)</t>
  </si>
  <si>
    <t xml:space="preserve">kolumna_dachu_wiezy (0°)</t>
  </si>
  <si>
    <t xml:space="preserve">kolumna_dachu_wiezy (90°)</t>
  </si>
  <si>
    <t xml:space="preserve">kolumna_dachu_wiezy (180°)</t>
  </si>
  <si>
    <t xml:space="preserve">kolumna_dachu_wiezy (270°)</t>
  </si>
  <si>
    <t xml:space="preserve">kolumna_sciany_donzonu (0°)</t>
  </si>
  <si>
    <t xml:space="preserve">kolumna_sciany_donzonu (90°)</t>
  </si>
  <si>
    <t xml:space="preserve">kolumna_sciany_donzonu (180°)</t>
  </si>
  <si>
    <t xml:space="preserve">kolumna_sciany_donzonu (270°)</t>
  </si>
  <si>
    <t xml:space="preserve">kolumna_naroznika_donzonu (0°)</t>
  </si>
  <si>
    <t xml:space="preserve">kolumna_naroznika_donzonu (90°)</t>
  </si>
  <si>
    <t xml:space="preserve">kolumna_naroznika_donzonu (180°)</t>
  </si>
  <si>
    <t xml:space="preserve">kolumna_naroznika_donzonu (270°)</t>
  </si>
  <si>
    <t xml:space="preserve">kolumna_spadku_dachu (0°)</t>
  </si>
  <si>
    <t xml:space="preserve">kolumna_spadku_dachu (90°)</t>
  </si>
  <si>
    <t xml:space="preserve">kolumna_spadku_dachu (180°)</t>
  </si>
  <si>
    <t xml:space="preserve">kolumna_spadku_dachu (270°)</t>
  </si>
  <si>
    <t xml:space="preserve">kolumna_naroznika_dachu (0°)</t>
  </si>
  <si>
    <t xml:space="preserve">kolumna_naroznika_dachu (90°)</t>
  </si>
  <si>
    <t xml:space="preserve">kolumna_naroznika_dachu (180°)</t>
  </si>
  <si>
    <t xml:space="preserve">kolumna_naroznika_dachu (270°)</t>
  </si>
  <si>
    <t xml:space="preserve">Sprawdzenie reguł</t>
  </si>
  <si>
    <t xml:space="preserve">Algorytm z zakładki Zasady uruchomiony w Pythonie na siatce 20 × 20 × 13, bez stawiania niczego w Blenderze. Każda udana mapa sprawdzona automatycznie: wszystkie pary sąsiadów, krawędzie, schody, drzwi, mosty, wieże.</t>
  </si>
  <si>
    <t xml:space="preserve">Wskaźnik</t>
  </si>
  <si>
    <t xml:space="preserve">Te reguły</t>
  </si>
  <si>
    <t xml:space="preserve">Poprzednie reguły (z brukiem), sprawdzane według obecnych zasad</t>
  </si>
  <si>
    <t xml:space="preserve">Próby (ziarna)</t>
  </si>
  <si>
    <t xml:space="preserve">Kolejne ziarna od 1.</t>
  </si>
  <si>
    <t xml:space="preserve">Udane mapy</t>
  </si>
  <si>
    <t xml:space="preserve">Sprzeczności</t>
  </si>
  <si>
    <t xml:space="preserve">Mapa porzucona, start od nowa z kolejnym ziarnem.</t>
  </si>
  <si>
    <t xml:space="preserve">Odsetek sprzeczności</t>
  </si>
  <si>
    <t xml:space="preserve">Średni czas jednej udanej mapy [s]</t>
  </si>
  <si>
    <t xml:space="preserve">Python bez optymalizacji; w Unity będzie dużo szybciej.</t>
  </si>
  <si>
    <t xml:space="preserve">Naruszenia zasad na udanych mapach</t>
  </si>
  <si>
    <t xml:space="preserve">Para sąsiadów niezgodna z regułami</t>
  </si>
  <si>
    <t xml:space="preserve">Coś urwane na krawędzi mapy</t>
  </si>
  <si>
    <t xml:space="preserve">Zły kafelek na dnie siatki</t>
  </si>
  <si>
    <t xml:space="preserve">Zły kafelek na górze siatki</t>
  </si>
  <si>
    <t xml:space="preserve">Schody bez powietrza nad sobą</t>
  </si>
  <si>
    <t xml:space="preserve">nie dotyczy</t>
  </si>
  <si>
    <t xml:space="preserve">W starych regułach nie było osobnego powietrza nad schodami.</t>
  </si>
  <si>
    <t xml:space="preserve">Schody nie do wieży ani donżonu</t>
  </si>
  <si>
    <t xml:space="preserve">Stare reguły pozwalały na schody przy murze.</t>
  </si>
  <si>
    <t xml:space="preserve">Schody bez drzwi piętro wyżej</t>
  </si>
  <si>
    <t xml:space="preserve">Stare reguły stawiały schody pod ślepą ścianą – dlatego poprawialiśmy je ręcznie.</t>
  </si>
  <si>
    <t xml:space="preserve">Drzwi bez mostu i bez schodów</t>
  </si>
  <si>
    <t xml:space="preserve">Drzwi na krawędzi mapy</t>
  </si>
  <si>
    <t xml:space="preserve">Most niepełny albo bez drzwi na końcu</t>
  </si>
  <si>
    <t xml:space="preserve">Most nad czymś innym niż Powietrze</t>
  </si>
  <si>
    <t xml:space="preserve">Wieża z ćwiartkami różnej wysokości</t>
  </si>
  <si>
    <t xml:space="preserve">Razem</t>
  </si>
  <si>
    <t xml:space="preserve">Co wychodzi na mapach (średnio na udaną mapę)</t>
  </si>
  <si>
    <t xml:space="preserve">Wieże</t>
  </si>
  <si>
    <t xml:space="preserve">Mniej budowli, bo bruk wymuszał obok siebie ścianę.</t>
  </si>
  <si>
    <t xml:space="preserve">Donżony</t>
  </si>
  <si>
    <t xml:space="preserve">Mosty</t>
  </si>
  <si>
    <t xml:space="preserve">Teraz zawsze z drzwiami nad sobą.</t>
  </si>
  <si>
    <t xml:space="preserve">Mapy ze schodami</t>
  </si>
  <si>
    <t xml:space="preserve">221 z 224</t>
  </si>
  <si>
    <t xml:space="preserve">92 z 92</t>
  </si>
  <si>
    <t xml:space="preserve">Mapy z mostami</t>
  </si>
  <si>
    <t xml:space="preserve">133 z 224</t>
  </si>
  <si>
    <t xml:space="preserve">76 z 92</t>
  </si>
  <si>
    <t xml:space="preserve">Wysokość wież [kostki]</t>
  </si>
  <si>
    <t xml:space="preserve">2–13, śr, 5,9</t>
  </si>
  <si>
    <t xml:space="preserve">2–13, śr, 6,1</t>
  </si>
  <si>
    <t xml:space="preserve">13 = sufit siatki.</t>
  </si>
  <si>
    <t xml:space="preserve">Wysokość murów [kostki]</t>
  </si>
  <si>
    <t xml:space="preserve">2–9, śr, 2,8</t>
  </si>
  <si>
    <t xml:space="preserve">2–13, śr, 2,9</t>
  </si>
  <si>
    <t xml:space="preserve">Wysokość donżonów [kostki]</t>
  </si>
  <si>
    <t xml:space="preserve">3–12, śr, 4,3</t>
  </si>
  <si>
    <t xml:space="preserve">3–11, śr, 4,0</t>
  </si>
  <si>
    <t xml:space="preserve">Liczona z dachem (2 kostki).</t>
  </si>
  <si>
    <t xml:space="preserve">Długość mostów [kostki]</t>
  </si>
  <si>
    <t xml:space="preserve">3–16, śr, 5,6</t>
  </si>
  <si>
    <t xml:space="preserve">3–16, śr, 5,5</t>
  </si>
  <si>
    <t xml:space="preserve">Teren na nowych mapach (udział kafelków parteru z trawą)</t>
  </si>
  <si>
    <t xml:space="preserve">Gęstość zabudowy a wagi trawy</t>
  </si>
  <si>
    <t xml:space="preserve">Te same reguły, zmienione tylko wagi wszystkich 5 kafelków trawy (proporcje między nimi bez zmian). Krótsze testy (ok. 50 s każdy), więc liczby są przybliżone.</t>
  </si>
  <si>
    <t xml:space="preserve">Wariant</t>
  </si>
  <si>
    <t xml:space="preserve">Próby</t>
  </si>
  <si>
    <t xml:space="preserve">Wieże na mapę</t>
  </si>
  <si>
    <t xml:space="preserve">Donżony na mapę</t>
  </si>
  <si>
    <t xml:space="preserve">Schody na mapę</t>
  </si>
  <si>
    <t xml:space="preserve">Wagi trawy jak w tych regułach (×1)</t>
  </si>
  <si>
    <t xml:space="preserve">Wagi trawy ×0,4</t>
  </si>
  <si>
    <t xml:space="preserve">Wagi trawy ×0,25</t>
  </si>
  <si>
    <t xml:space="preserve">Poprzednie reguły z brukiem</t>
  </si>
  <si>
    <t xml:space="preserve">Rozstrzygnięte</t>
  </si>
  <si>
    <t xml:space="preserve">Decyzja z 21.10.2026: świadomy wyjątek, filar może wchodzić w kostkę muru pod spodem. Szczegóły w zakładce Poza kostką.</t>
  </si>
  <si>
    <t xml:space="preserve">Rozstrzygnięte 21.10.2026: nowy model, czyli kopia Dach_Szczyt z masztem, grotem i proporcem na wierzchołku, wysokość 3,55 m (zakładka Poza kostką).</t>
  </si>
  <si>
    <t xml:space="preserve">w górę: maszt z grotem i proporcem na wierzchołku dachu (proporzec 3,0–3,42 m, grot do 3,55 m nad spodem kostki)</t>
  </si>
  <si>
    <t xml:space="preserve">kostka nad</t>
  </si>
  <si>
    <t xml:space="preserve">Nad szczytem dachu zawsze Powietrze. Jeśli na tym Powietrzu stoi most, jego łuk kończy się 0,6 m nad spodem tej kostki, a maszt 0,55 m.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</si>
</sst>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%"/>
    <numFmt numFmtId="167" formatCode="0.0"/>
    <numFmt numFmtId="168" formatCode="0%"/>
    <numFmt numFmtId="169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E5E7EB"/>
        <bgColor rgb="FFDDEBF7"/>
      </patternFill>
    </fill>
    <fill>
      <patternFill patternType="solid">
        <fgColor rgb="FFDDEBF7"/>
        <bgColor rgb="FFE5E7EB"/>
      </patternFill>
    </fill>
    <fill>
      <patternFill patternType="solid">
        <fgColor rgb="FFFFE699"/>
        <bgColor rgb="FFFFCC99"/>
      </patternFill>
    </fill>
    <fill>
      <patternFill patternType="solid">
        <fgColor rgb="FFC6EFCE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6EFCE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70"/>
    <col collapsed="false" customWidth="true" hidden="false" outlineLevel="0" max="4" min="4" style="0" width="44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54" hidden="false" customHeight="true" outlineLevel="0" collapsed="false">
      <c r="A3" s="3" t="s">
        <v>2</v>
      </c>
      <c r="B3" s="3"/>
      <c r="C3" s="3"/>
      <c r="D3" s="3"/>
      <c r="E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5"/>
      <c r="B6" s="5" t="s">
        <v>8</v>
      </c>
      <c r="C6" s="5"/>
      <c r="D6" s="5"/>
      <c r="E6" s="5"/>
    </row>
    <row r="7" customFormat="false" ht="23.85" hidden="false" customHeight="false" outlineLevel="0" collapsed="false">
      <c r="A7" s="6" t="n">
        <v>1</v>
      </c>
      <c r="B7" s="7" t="s">
        <v>8</v>
      </c>
      <c r="C7" s="7" t="s">
        <v>9</v>
      </c>
      <c r="D7" s="7" t="s">
        <v>10</v>
      </c>
      <c r="E7" s="7" t="s">
        <v>11</v>
      </c>
    </row>
    <row r="8" customFormat="false" ht="23.85" hidden="false" customHeight="false" outlineLevel="0" collapsed="false">
      <c r="A8" s="6" t="n">
        <v>2</v>
      </c>
      <c r="B8" s="7" t="s">
        <v>8</v>
      </c>
      <c r="C8" s="7" t="s">
        <v>12</v>
      </c>
      <c r="D8" s="7" t="s">
        <v>13</v>
      </c>
      <c r="E8" s="7" t="s">
        <v>14</v>
      </c>
    </row>
    <row r="9" customFormat="false" ht="23.85" hidden="false" customHeight="false" outlineLevel="0" collapsed="false">
      <c r="A9" s="6" t="n">
        <v>3</v>
      </c>
      <c r="B9" s="7" t="s">
        <v>8</v>
      </c>
      <c r="C9" s="7" t="s">
        <v>15</v>
      </c>
      <c r="D9" s="7" t="s">
        <v>16</v>
      </c>
      <c r="E9" s="7" t="s">
        <v>17</v>
      </c>
    </row>
    <row r="10" customFormat="false" ht="57.45" hidden="false" customHeight="false" outlineLevel="0" collapsed="false">
      <c r="A10" s="6" t="n">
        <v>4</v>
      </c>
      <c r="B10" s="7" t="s">
        <v>8</v>
      </c>
      <c r="C10" s="7" t="s">
        <v>18</v>
      </c>
      <c r="D10" s="7" t="s">
        <v>19</v>
      </c>
      <c r="E10" s="7"/>
    </row>
    <row r="11" customFormat="false" ht="35.05" hidden="false" customHeight="false" outlineLevel="0" collapsed="false">
      <c r="A11" s="6" t="n">
        <v>5</v>
      </c>
      <c r="B11" s="7" t="s">
        <v>8</v>
      </c>
      <c r="C11" s="7" t="s">
        <v>20</v>
      </c>
      <c r="D11" s="7" t="s">
        <v>21</v>
      </c>
      <c r="E11" s="7" t="s">
        <v>22</v>
      </c>
    </row>
    <row r="12" customFormat="false" ht="35.05" hidden="false" customHeight="false" outlineLevel="0" collapsed="false">
      <c r="A12" s="6" t="n">
        <v>6</v>
      </c>
      <c r="B12" s="7" t="s">
        <v>8</v>
      </c>
      <c r="C12" s="7" t="s">
        <v>23</v>
      </c>
      <c r="D12" s="7" t="s">
        <v>24</v>
      </c>
      <c r="E12" s="7" t="s">
        <v>25</v>
      </c>
    </row>
    <row r="13" customFormat="false" ht="23.85" hidden="false" customHeight="false" outlineLevel="0" collapsed="false">
      <c r="A13" s="6" t="n">
        <v>7</v>
      </c>
      <c r="B13" s="7" t="s">
        <v>8</v>
      </c>
      <c r="C13" s="7" t="s">
        <v>26</v>
      </c>
      <c r="D13" s="7" t="s">
        <v>27</v>
      </c>
      <c r="E13" s="7"/>
    </row>
    <row r="14" customFormat="false" ht="23.85" hidden="false" customHeight="false" outlineLevel="0" collapsed="false">
      <c r="A14" s="6" t="n">
        <v>8</v>
      </c>
      <c r="B14" s="7" t="s">
        <v>8</v>
      </c>
      <c r="C14" s="7" t="s">
        <v>28</v>
      </c>
      <c r="D14" s="7" t="s">
        <v>29</v>
      </c>
      <c r="E14" s="7" t="s">
        <v>30</v>
      </c>
    </row>
    <row r="15" customFormat="false" ht="15" hidden="false" customHeight="false" outlineLevel="0" collapsed="false">
      <c r="A15" s="5"/>
      <c r="B15" s="5" t="s">
        <v>31</v>
      </c>
      <c r="C15" s="5"/>
      <c r="D15" s="5"/>
      <c r="E15" s="5"/>
    </row>
    <row r="16" customFormat="false" ht="35.05" hidden="false" customHeight="false" outlineLevel="0" collapsed="false">
      <c r="A16" s="6" t="n">
        <v>9</v>
      </c>
      <c r="B16" s="7" t="s">
        <v>31</v>
      </c>
      <c r="C16" s="7" t="s">
        <v>32</v>
      </c>
      <c r="D16" s="7" t="s">
        <v>33</v>
      </c>
      <c r="E16" s="7"/>
    </row>
    <row r="17" customFormat="false" ht="35.05" hidden="false" customHeight="false" outlineLevel="0" collapsed="false">
      <c r="A17" s="8" t="n">
        <v>10</v>
      </c>
      <c r="B17" s="9" t="s">
        <v>31</v>
      </c>
      <c r="C17" s="9" t="s">
        <v>34</v>
      </c>
      <c r="D17" s="9" t="s">
        <v>35</v>
      </c>
      <c r="E17" s="9" t="s">
        <v>36</v>
      </c>
    </row>
    <row r="18" customFormat="false" ht="15" hidden="false" customHeight="false" outlineLevel="0" collapsed="false">
      <c r="A18" s="6" t="n">
        <v>11</v>
      </c>
      <c r="B18" s="7" t="s">
        <v>31</v>
      </c>
      <c r="C18" s="7" t="s">
        <v>37</v>
      </c>
      <c r="D18" s="7" t="s">
        <v>38</v>
      </c>
      <c r="E18" s="7"/>
    </row>
    <row r="19" customFormat="false" ht="15" hidden="false" customHeight="false" outlineLevel="0" collapsed="false">
      <c r="A19" s="5"/>
      <c r="B19" s="5" t="s">
        <v>39</v>
      </c>
      <c r="C19" s="5"/>
      <c r="D19" s="5"/>
      <c r="E19" s="5"/>
    </row>
    <row r="20" customFormat="false" ht="35.05" hidden="false" customHeight="false" outlineLevel="0" collapsed="false">
      <c r="A20" s="6" t="n">
        <v>12</v>
      </c>
      <c r="B20" s="7" t="s">
        <v>39</v>
      </c>
      <c r="C20" s="7" t="s">
        <v>40</v>
      </c>
      <c r="D20" s="7" t="s">
        <v>41</v>
      </c>
      <c r="E20" s="7"/>
    </row>
    <row r="21" customFormat="false" ht="23.85" hidden="false" customHeight="false" outlineLevel="0" collapsed="false">
      <c r="A21" s="6" t="n">
        <v>13</v>
      </c>
      <c r="B21" s="7" t="s">
        <v>39</v>
      </c>
      <c r="C21" s="7" t="s">
        <v>42</v>
      </c>
      <c r="D21" s="7" t="s">
        <v>16</v>
      </c>
      <c r="E21" s="7"/>
    </row>
    <row r="22" customFormat="false" ht="15" hidden="false" customHeight="false" outlineLevel="0" collapsed="false">
      <c r="A22" s="5"/>
      <c r="B22" s="5" t="s">
        <v>43</v>
      </c>
      <c r="C22" s="5"/>
      <c r="D22" s="5"/>
      <c r="E22" s="5"/>
    </row>
    <row r="23" customFormat="false" ht="23.85" hidden="false" customHeight="false" outlineLevel="0" collapsed="false">
      <c r="A23" s="6" t="n">
        <v>14</v>
      </c>
      <c r="B23" s="7" t="s">
        <v>43</v>
      </c>
      <c r="C23" s="7" t="s">
        <v>44</v>
      </c>
      <c r="D23" s="7" t="s">
        <v>45</v>
      </c>
      <c r="E23" s="7" t="s">
        <v>46</v>
      </c>
    </row>
    <row r="24" customFormat="false" ht="35.05" hidden="false" customHeight="false" outlineLevel="0" collapsed="false">
      <c r="A24" s="6" t="n">
        <v>15</v>
      </c>
      <c r="B24" s="7" t="s">
        <v>43</v>
      </c>
      <c r="C24" s="7" t="s">
        <v>47</v>
      </c>
      <c r="D24" s="7" t="s">
        <v>48</v>
      </c>
      <c r="E24" s="7"/>
    </row>
    <row r="25" customFormat="false" ht="23.85" hidden="false" customHeight="false" outlineLevel="0" collapsed="false">
      <c r="A25" s="6" t="n">
        <v>16</v>
      </c>
      <c r="B25" s="7" t="s">
        <v>43</v>
      </c>
      <c r="C25" s="7" t="s">
        <v>49</v>
      </c>
      <c r="D25" s="7" t="s">
        <v>50</v>
      </c>
      <c r="E25" s="7"/>
    </row>
    <row r="26" customFormat="false" ht="23.85" hidden="false" customHeight="false" outlineLevel="0" collapsed="false">
      <c r="A26" s="6" t="n">
        <v>17</v>
      </c>
      <c r="B26" s="7" t="s">
        <v>43</v>
      </c>
      <c r="C26" s="7" t="s">
        <v>51</v>
      </c>
      <c r="D26" s="7" t="s">
        <v>52</v>
      </c>
      <c r="E26" s="7"/>
    </row>
    <row r="27" customFormat="false" ht="35.05" hidden="false" customHeight="false" outlineLevel="0" collapsed="false">
      <c r="A27" s="6" t="n">
        <v>18</v>
      </c>
      <c r="B27" s="7" t="s">
        <v>43</v>
      </c>
      <c r="C27" s="7" t="s">
        <v>53</v>
      </c>
      <c r="D27" s="7" t="s">
        <v>54</v>
      </c>
      <c r="E27" s="7" t="s">
        <v>55</v>
      </c>
    </row>
    <row r="28" customFormat="false" ht="23.85" hidden="false" customHeight="false" outlineLevel="0" collapsed="false">
      <c r="A28" s="6" t="n">
        <v>19</v>
      </c>
      <c r="B28" s="7" t="s">
        <v>43</v>
      </c>
      <c r="C28" s="7" t="s">
        <v>56</v>
      </c>
      <c r="D28" s="7" t="s">
        <v>57</v>
      </c>
      <c r="E28" s="7" t="s">
        <v>58</v>
      </c>
    </row>
    <row r="29" customFormat="false" ht="15" hidden="false" customHeight="false" outlineLevel="0" collapsed="false">
      <c r="A29" s="5"/>
      <c r="B29" s="5" t="s">
        <v>59</v>
      </c>
      <c r="C29" s="5"/>
      <c r="D29" s="5"/>
      <c r="E29" s="5"/>
    </row>
    <row r="30" customFormat="false" ht="23.85" hidden="false" customHeight="false" outlineLevel="0" collapsed="false">
      <c r="A30" s="6" t="n">
        <v>20</v>
      </c>
      <c r="B30" s="7" t="s">
        <v>59</v>
      </c>
      <c r="C30" s="7" t="s">
        <v>60</v>
      </c>
      <c r="D30" s="7" t="s">
        <v>61</v>
      </c>
      <c r="E30" s="7"/>
    </row>
    <row r="31" customFormat="false" ht="23.85" hidden="false" customHeight="false" outlineLevel="0" collapsed="false">
      <c r="A31" s="6" t="n">
        <v>21</v>
      </c>
      <c r="B31" s="7" t="s">
        <v>59</v>
      </c>
      <c r="C31" s="7" t="s">
        <v>62</v>
      </c>
      <c r="D31" s="7" t="s">
        <v>63</v>
      </c>
      <c r="E31" s="7" t="s">
        <v>64</v>
      </c>
    </row>
    <row r="32" customFormat="false" ht="23.85" hidden="false" customHeight="false" outlineLevel="0" collapsed="false">
      <c r="A32" s="6" t="n">
        <v>22</v>
      </c>
      <c r="B32" s="7" t="s">
        <v>59</v>
      </c>
      <c r="C32" s="7" t="s">
        <v>65</v>
      </c>
      <c r="D32" s="7" t="s">
        <v>66</v>
      </c>
      <c r="E32" s="7"/>
    </row>
    <row r="33" customFormat="false" ht="23.85" hidden="false" customHeight="false" outlineLevel="0" collapsed="false">
      <c r="A33" s="6" t="n">
        <v>23</v>
      </c>
      <c r="B33" s="7" t="s">
        <v>59</v>
      </c>
      <c r="C33" s="7" t="s">
        <v>67</v>
      </c>
      <c r="D33" s="7" t="s">
        <v>68</v>
      </c>
      <c r="E33" s="7"/>
    </row>
    <row r="34" customFormat="false" ht="35.05" hidden="false" customHeight="false" outlineLevel="0" collapsed="false">
      <c r="A34" s="6" t="n">
        <v>24</v>
      </c>
      <c r="B34" s="7" t="s">
        <v>59</v>
      </c>
      <c r="C34" s="7" t="s">
        <v>69</v>
      </c>
      <c r="D34" s="7" t="s">
        <v>70</v>
      </c>
      <c r="E34" s="7" t="s">
        <v>71</v>
      </c>
    </row>
    <row r="35" customFormat="false" ht="15" hidden="false" customHeight="false" outlineLevel="0" collapsed="false">
      <c r="A35" s="6" t="n">
        <v>25</v>
      </c>
      <c r="B35" s="7" t="s">
        <v>59</v>
      </c>
      <c r="C35" s="7" t="s">
        <v>72</v>
      </c>
      <c r="D35" s="7" t="s">
        <v>73</v>
      </c>
      <c r="E35" s="7"/>
    </row>
    <row r="36" customFormat="false" ht="15" hidden="false" customHeight="false" outlineLevel="0" collapsed="false">
      <c r="A36" s="5"/>
      <c r="B36" s="5" t="s">
        <v>74</v>
      </c>
      <c r="C36" s="5"/>
      <c r="D36" s="5"/>
      <c r="E36" s="5"/>
    </row>
    <row r="37" customFormat="false" ht="35.05" hidden="false" customHeight="false" outlineLevel="0" collapsed="false">
      <c r="A37" s="6" t="n">
        <v>26</v>
      </c>
      <c r="B37" s="7" t="s">
        <v>74</v>
      </c>
      <c r="C37" s="7" t="s">
        <v>75</v>
      </c>
      <c r="D37" s="7" t="s">
        <v>76</v>
      </c>
      <c r="E37" s="7"/>
    </row>
    <row r="38" customFormat="false" ht="35.05" hidden="false" customHeight="false" outlineLevel="0" collapsed="false">
      <c r="A38" s="6" t="n">
        <v>27</v>
      </c>
      <c r="B38" s="7" t="s">
        <v>74</v>
      </c>
      <c r="C38" s="7" t="s">
        <v>77</v>
      </c>
      <c r="D38" s="7" t="s">
        <v>78</v>
      </c>
      <c r="E38" s="7" t="s">
        <v>79</v>
      </c>
    </row>
    <row r="39" customFormat="false" ht="23.85" hidden="false" customHeight="false" outlineLevel="0" collapsed="false">
      <c r="A39" s="6" t="n">
        <v>28</v>
      </c>
      <c r="B39" s="7" t="s">
        <v>74</v>
      </c>
      <c r="C39" s="7" t="s">
        <v>80</v>
      </c>
      <c r="D39" s="7" t="s">
        <v>81</v>
      </c>
      <c r="E39" s="7"/>
    </row>
    <row r="40" customFormat="false" ht="35.05" hidden="false" customHeight="false" outlineLevel="0" collapsed="false">
      <c r="A40" s="6" t="n">
        <v>29</v>
      </c>
      <c r="B40" s="7" t="s">
        <v>74</v>
      </c>
      <c r="C40" s="7" t="s">
        <v>82</v>
      </c>
      <c r="D40" s="7" t="s">
        <v>83</v>
      </c>
      <c r="E40" s="7"/>
    </row>
    <row r="41" customFormat="false" ht="15" hidden="false" customHeight="false" outlineLevel="0" collapsed="false">
      <c r="A41" s="6" t="n">
        <v>30</v>
      </c>
      <c r="B41" s="7" t="s">
        <v>74</v>
      </c>
      <c r="C41" s="7" t="s">
        <v>84</v>
      </c>
      <c r="D41" s="7" t="s">
        <v>73</v>
      </c>
      <c r="E41" s="7"/>
    </row>
    <row r="42" customFormat="false" ht="15" hidden="false" customHeight="false" outlineLevel="0" collapsed="false">
      <c r="A42" s="5"/>
      <c r="B42" s="5" t="s">
        <v>85</v>
      </c>
      <c r="C42" s="5"/>
      <c r="D42" s="5"/>
      <c r="E42" s="5"/>
    </row>
    <row r="43" customFormat="false" ht="46.25" hidden="false" customHeight="false" outlineLevel="0" collapsed="false">
      <c r="A43" s="6" t="n">
        <v>31</v>
      </c>
      <c r="B43" s="7" t="s">
        <v>85</v>
      </c>
      <c r="C43" s="7" t="s">
        <v>86</v>
      </c>
      <c r="D43" s="7" t="s">
        <v>87</v>
      </c>
      <c r="E43" s="7"/>
    </row>
    <row r="44" customFormat="false" ht="23.85" hidden="false" customHeight="false" outlineLevel="0" collapsed="false">
      <c r="A44" s="6" t="n">
        <v>32</v>
      </c>
      <c r="B44" s="7" t="s">
        <v>85</v>
      </c>
      <c r="C44" s="7" t="s">
        <v>88</v>
      </c>
      <c r="D44" s="7" t="s">
        <v>89</v>
      </c>
      <c r="E44" s="7"/>
    </row>
    <row r="45" customFormat="false" ht="23.85" hidden="false" customHeight="false" outlineLevel="0" collapsed="false">
      <c r="A45" s="6" t="n">
        <v>33</v>
      </c>
      <c r="B45" s="7" t="s">
        <v>85</v>
      </c>
      <c r="C45" s="7" t="s">
        <v>90</v>
      </c>
      <c r="D45" s="7" t="s">
        <v>91</v>
      </c>
      <c r="E45" s="7"/>
    </row>
    <row r="46" customFormat="false" ht="15" hidden="false" customHeight="false" outlineLevel="0" collapsed="false">
      <c r="A46" s="5"/>
      <c r="B46" s="5" t="s">
        <v>92</v>
      </c>
      <c r="C46" s="5"/>
      <c r="D46" s="5"/>
      <c r="E46" s="5"/>
    </row>
    <row r="47" customFormat="false" ht="23.85" hidden="false" customHeight="false" outlineLevel="0" collapsed="false">
      <c r="A47" s="8" t="n">
        <v>34</v>
      </c>
      <c r="B47" s="9" t="s">
        <v>92</v>
      </c>
      <c r="C47" s="9" t="s">
        <v>93</v>
      </c>
      <c r="D47" s="9" t="s">
        <v>94</v>
      </c>
      <c r="E47" s="9"/>
    </row>
    <row r="48" customFormat="false" ht="46.25" hidden="false" customHeight="false" outlineLevel="0" collapsed="false">
      <c r="A48" s="8" t="n">
        <v>35</v>
      </c>
      <c r="B48" s="9" t="s">
        <v>92</v>
      </c>
      <c r="C48" s="9" t="s">
        <v>95</v>
      </c>
      <c r="D48" s="9" t="s">
        <v>96</v>
      </c>
      <c r="E48" s="9" t="s">
        <v>97</v>
      </c>
    </row>
    <row r="49" customFormat="false" ht="23.85" hidden="false" customHeight="false" outlineLevel="0" collapsed="false">
      <c r="A49" s="8" t="n">
        <v>36</v>
      </c>
      <c r="B49" s="9" t="s">
        <v>92</v>
      </c>
      <c r="C49" s="9" t="s">
        <v>98</v>
      </c>
      <c r="D49" s="9" t="s">
        <v>99</v>
      </c>
      <c r="E49" s="9"/>
    </row>
    <row r="50" customFormat="false" ht="15" hidden="false" customHeight="false" outlineLevel="0" collapsed="false">
      <c r="A50" s="5"/>
      <c r="B50" s="5" t="s">
        <v>100</v>
      </c>
      <c r="C50" s="5"/>
      <c r="D50" s="5"/>
      <c r="E50" s="5"/>
    </row>
    <row r="51" customFormat="false" ht="23.85" hidden="false" customHeight="false" outlineLevel="0" collapsed="false">
      <c r="A51" s="6" t="n">
        <v>37</v>
      </c>
      <c r="B51" s="7" t="s">
        <v>100</v>
      </c>
      <c r="C51" s="7" t="s">
        <v>101</v>
      </c>
      <c r="D51" s="7" t="s">
        <v>102</v>
      </c>
      <c r="E51" s="7"/>
    </row>
    <row r="52" customFormat="false" ht="15" hidden="false" customHeight="false" outlineLevel="0" collapsed="false">
      <c r="A52" s="6" t="n">
        <v>38</v>
      </c>
      <c r="B52" s="7" t="s">
        <v>100</v>
      </c>
      <c r="C52" s="7" t="s">
        <v>103</v>
      </c>
      <c r="D52" s="7" t="s">
        <v>104</v>
      </c>
      <c r="E52" s="7"/>
    </row>
    <row r="53" customFormat="false" ht="15" hidden="false" customHeight="false" outlineLevel="0" collapsed="false">
      <c r="A53" s="5"/>
      <c r="B53" s="5" t="s">
        <v>105</v>
      </c>
      <c r="C53" s="5"/>
      <c r="D53" s="5"/>
      <c r="E53" s="5"/>
    </row>
    <row r="54" customFormat="false" ht="35.05" hidden="false" customHeight="false" outlineLevel="0" collapsed="false">
      <c r="A54" s="6" t="n">
        <v>39</v>
      </c>
      <c r="B54" s="7" t="s">
        <v>105</v>
      </c>
      <c r="C54" s="7" t="s">
        <v>106</v>
      </c>
      <c r="D54" s="7" t="s">
        <v>10</v>
      </c>
      <c r="E54" s="7" t="s">
        <v>107</v>
      </c>
    </row>
    <row r="55" customFormat="false" ht="23.85" hidden="false" customHeight="false" outlineLevel="0" collapsed="false">
      <c r="A55" s="6" t="n">
        <v>40</v>
      </c>
      <c r="B55" s="7" t="s">
        <v>105</v>
      </c>
      <c r="C55" s="7" t="s">
        <v>108</v>
      </c>
      <c r="D55" s="7" t="s">
        <v>109</v>
      </c>
      <c r="E55" s="7"/>
    </row>
    <row r="56" customFormat="false" ht="23.85" hidden="false" customHeight="false" outlineLevel="0" collapsed="false">
      <c r="A56" s="6" t="n">
        <v>41</v>
      </c>
      <c r="B56" s="7" t="s">
        <v>105</v>
      </c>
      <c r="C56" s="7" t="s">
        <v>110</v>
      </c>
      <c r="D56" s="7" t="s">
        <v>10</v>
      </c>
      <c r="E56" s="7"/>
    </row>
    <row r="57" customFormat="false" ht="23.85" hidden="false" customHeight="false" outlineLevel="0" collapsed="false">
      <c r="A57" s="6" t="n">
        <v>42</v>
      </c>
      <c r="B57" s="7" t="s">
        <v>105</v>
      </c>
      <c r="C57" s="7" t="s">
        <v>111</v>
      </c>
      <c r="D57" s="7" t="s">
        <v>10</v>
      </c>
      <c r="E57" s="7" t="s">
        <v>112</v>
      </c>
    </row>
    <row r="58" customFormat="false" ht="15" hidden="false" customHeight="false" outlineLevel="0" collapsed="false">
      <c r="A58" s="5"/>
      <c r="B58" s="5" t="s">
        <v>113</v>
      </c>
      <c r="C58" s="5"/>
      <c r="D58" s="5"/>
      <c r="E58" s="5"/>
    </row>
    <row r="59" customFormat="false" ht="23.85" hidden="false" customHeight="false" outlineLevel="0" collapsed="false">
      <c r="A59" s="6" t="n">
        <v>43</v>
      </c>
      <c r="B59" s="7" t="s">
        <v>113</v>
      </c>
      <c r="C59" s="7" t="s">
        <v>114</v>
      </c>
      <c r="D59" s="7" t="s">
        <v>10</v>
      </c>
      <c r="E59" s="7" t="s">
        <v>115</v>
      </c>
    </row>
    <row r="60" customFormat="false" ht="23.85" hidden="false" customHeight="false" outlineLevel="0" collapsed="false">
      <c r="A60" s="6" t="n">
        <v>44</v>
      </c>
      <c r="B60" s="7" t="s">
        <v>113</v>
      </c>
      <c r="C60" s="7" t="s">
        <v>116</v>
      </c>
      <c r="D60" s="7" t="s">
        <v>10</v>
      </c>
      <c r="E60" s="7"/>
    </row>
    <row r="61" customFormat="false" ht="23.85" hidden="false" customHeight="false" outlineLevel="0" collapsed="false">
      <c r="A61" s="6" t="n">
        <v>45</v>
      </c>
      <c r="B61" s="7" t="s">
        <v>113</v>
      </c>
      <c r="C61" s="7" t="s">
        <v>117</v>
      </c>
      <c r="D61" s="7" t="s">
        <v>10</v>
      </c>
      <c r="E61" s="7"/>
    </row>
    <row r="62" customFormat="false" ht="15" hidden="false" customHeight="false" outlineLevel="0" collapsed="false">
      <c r="A62" s="5"/>
      <c r="B62" s="5" t="s">
        <v>118</v>
      </c>
      <c r="C62" s="5"/>
      <c r="D62" s="5"/>
      <c r="E62" s="5"/>
    </row>
    <row r="63" customFormat="false" ht="23.85" hidden="false" customHeight="false" outlineLevel="0" collapsed="false">
      <c r="A63" s="6" t="n">
        <v>46</v>
      </c>
      <c r="B63" s="7" t="s">
        <v>118</v>
      </c>
      <c r="C63" s="7" t="s">
        <v>119</v>
      </c>
      <c r="D63" s="7" t="s">
        <v>10</v>
      </c>
      <c r="E63" s="7" t="s">
        <v>120</v>
      </c>
    </row>
    <row r="64" customFormat="false" ht="15" hidden="false" customHeight="false" outlineLevel="0" collapsed="false">
      <c r="A64" s="6" t="n">
        <v>47</v>
      </c>
      <c r="B64" s="7" t="s">
        <v>118</v>
      </c>
      <c r="C64" s="7" t="s">
        <v>121</v>
      </c>
      <c r="D64" s="7" t="s">
        <v>10</v>
      </c>
      <c r="E64" s="7"/>
    </row>
    <row r="65" customFormat="false" ht="23.85" hidden="false" customHeight="false" outlineLevel="0" collapsed="false">
      <c r="A65" s="6" t="n">
        <v>48</v>
      </c>
      <c r="B65" s="7" t="s">
        <v>118</v>
      </c>
      <c r="C65" s="7" t="s">
        <v>122</v>
      </c>
      <c r="D65" s="7" t="s">
        <v>10</v>
      </c>
      <c r="E65" s="7"/>
    </row>
    <row r="66" customFormat="false" ht="15" hidden="false" customHeight="false" outlineLevel="0" collapsed="false">
      <c r="A66" s="5"/>
      <c r="B66" s="5" t="s">
        <v>743</v>
      </c>
      <c r="C66" s="5"/>
      <c r="D66" s="5"/>
      <c r="E66" s="5"/>
    </row>
    <row r="67" customFormat="false" ht="35.05" hidden="false" customHeight="false" outlineLevel="0" collapsed="false">
      <c r="A67" s="6" t="n">
        <v>49</v>
      </c>
      <c r="B67" s="7" t="s">
        <v>743</v>
      </c>
      <c r="C67" s="7" t="s">
        <v>124</v>
      </c>
      <c r="D67" s="7" t="s">
        <v>10</v>
      </c>
      <c r="E67" s="7" t="s">
        <v>744</v>
      </c>
    </row>
    <row r="68" customFormat="false" ht="23.85" hidden="false" customHeight="false" outlineLevel="0" collapsed="false">
      <c r="A68" s="6" t="n">
        <v>50</v>
      </c>
      <c r="B68" s="7" t="s">
        <v>743</v>
      </c>
      <c r="C68" s="7" t="s">
        <v>126</v>
      </c>
      <c r="D68" s="7" t="s">
        <v>10</v>
      </c>
      <c r="E68" s="7" t="s">
        <v>745</v>
      </c>
    </row>
    <row r="69" customFormat="false" ht="15" hidden="false" customHeight="false" outlineLevel="0" collapsed="false">
      <c r="A69" s="5"/>
      <c r="B69" s="5" t="s">
        <v>123</v>
      </c>
      <c r="C69" s="5"/>
      <c r="D69" s="5"/>
      <c r="E69" s="5"/>
    </row>
    <row r="70" customFormat="false" ht="23.85" hidden="false" customHeight="false" outlineLevel="0" collapsed="false">
      <c r="A70" s="10" t="n">
        <v>51</v>
      </c>
      <c r="B70" s="11" t="s">
        <v>123</v>
      </c>
      <c r="C70" s="11" t="s">
        <v>128</v>
      </c>
      <c r="D70" s="11" t="s">
        <v>10</v>
      </c>
      <c r="E70" s="11"/>
    </row>
    <row r="71" customFormat="false" ht="35.05" hidden="false" customHeight="false" outlineLevel="0" collapsed="false">
      <c r="A71" s="10" t="n">
        <v>52</v>
      </c>
      <c r="B71" s="11" t="s">
        <v>123</v>
      </c>
      <c r="C71" s="11" t="s">
        <v>129</v>
      </c>
      <c r="D71" s="11" t="s">
        <v>10</v>
      </c>
      <c r="E71" s="11" t="s">
        <v>130</v>
      </c>
    </row>
  </sheetData>
  <mergeCells count="1"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5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6" min="5" style="0" width="8"/>
    <col collapsed="false" customWidth="true" hidden="false" outlineLevel="0" max="7" min="7" style="0" width="7"/>
    <col collapsed="false" customWidth="true" hidden="false" outlineLevel="0" max="11" min="8" style="0" width="22"/>
    <col collapsed="false" customWidth="true" hidden="false" outlineLevel="0" max="13" min="12" style="0" width="26"/>
    <col collapsed="false" customWidth="true" hidden="false" outlineLevel="0" max="14" min="14" style="0" width="46"/>
  </cols>
  <sheetData>
    <row r="1" customFormat="false" ht="17.35" hidden="false" customHeight="false" outlineLevel="0" collapsed="false">
      <c r="A1" s="1" t="s">
        <v>131</v>
      </c>
    </row>
    <row r="2" customFormat="false" ht="15" hidden="false" customHeight="false" outlineLevel="0" collapsed="false">
      <c r="A2" s="2" t="s">
        <v>132</v>
      </c>
    </row>
    <row r="4" customFormat="false" ht="15" hidden="false" customHeight="false" outlineLevel="0" collapsed="false">
      <c r="A4" s="4" t="s">
        <v>3</v>
      </c>
      <c r="B4" s="4" t="s">
        <v>133</v>
      </c>
      <c r="C4" s="4" t="s">
        <v>134</v>
      </c>
      <c r="D4" s="4" t="s">
        <v>135</v>
      </c>
      <c r="E4" s="4" t="s">
        <v>136</v>
      </c>
      <c r="F4" s="4" t="s">
        <v>137</v>
      </c>
      <c r="G4" s="4" t="s">
        <v>138</v>
      </c>
      <c r="H4" s="4" t="s">
        <v>139</v>
      </c>
      <c r="I4" s="4" t="s">
        <v>140</v>
      </c>
      <c r="J4" s="4" t="s">
        <v>141</v>
      </c>
      <c r="K4" s="4" t="s">
        <v>142</v>
      </c>
      <c r="L4" s="4" t="s">
        <v>143</v>
      </c>
      <c r="M4" s="4" t="s">
        <v>144</v>
      </c>
      <c r="N4" s="4" t="s">
        <v>145</v>
      </c>
    </row>
    <row r="5" customFormat="false" ht="15" hidden="false" customHeight="false" outlineLevel="0" collapsed="false">
      <c r="A5" s="6" t="n">
        <v>1</v>
      </c>
      <c r="B5" s="7" t="s">
        <v>146</v>
      </c>
      <c r="C5" s="7" t="s">
        <v>146</v>
      </c>
      <c r="D5" s="7" t="s">
        <v>31</v>
      </c>
      <c r="E5" s="6" t="s">
        <v>147</v>
      </c>
      <c r="F5" s="6" t="n">
        <v>1</v>
      </c>
      <c r="G5" s="6" t="n">
        <v>10</v>
      </c>
      <c r="H5" s="7" t="s">
        <v>148</v>
      </c>
      <c r="I5" s="7" t="s">
        <v>148</v>
      </c>
      <c r="J5" s="7" t="s">
        <v>148</v>
      </c>
      <c r="K5" s="7" t="s">
        <v>148</v>
      </c>
      <c r="L5" s="7" t="s">
        <v>149</v>
      </c>
      <c r="M5" s="7" t="s">
        <v>150</v>
      </c>
      <c r="N5" s="7" t="s">
        <v>151</v>
      </c>
    </row>
    <row r="6" customFormat="false" ht="15" hidden="false" customHeight="false" outlineLevel="0" collapsed="false">
      <c r="A6" s="6" t="n">
        <v>2</v>
      </c>
      <c r="B6" s="7" t="s">
        <v>152</v>
      </c>
      <c r="C6" s="7" t="s">
        <v>152</v>
      </c>
      <c r="D6" s="7" t="s">
        <v>31</v>
      </c>
      <c r="E6" s="6" t="s">
        <v>147</v>
      </c>
      <c r="F6" s="6" t="n">
        <v>1</v>
      </c>
      <c r="G6" s="6" t="n">
        <v>3</v>
      </c>
      <c r="H6" s="7" t="s">
        <v>148</v>
      </c>
      <c r="I6" s="7" t="s">
        <v>148</v>
      </c>
      <c r="J6" s="7" t="s">
        <v>148</v>
      </c>
      <c r="K6" s="7" t="s">
        <v>148</v>
      </c>
      <c r="L6" s="7" t="s">
        <v>149</v>
      </c>
      <c r="M6" s="7" t="s">
        <v>150</v>
      </c>
      <c r="N6" s="7" t="s">
        <v>153</v>
      </c>
    </row>
    <row r="7" customFormat="false" ht="15" hidden="false" customHeight="false" outlineLevel="0" collapsed="false">
      <c r="A7" s="6" t="n">
        <v>3</v>
      </c>
      <c r="B7" s="7" t="s">
        <v>154</v>
      </c>
      <c r="C7" s="7" t="s">
        <v>154</v>
      </c>
      <c r="D7" s="7" t="s">
        <v>31</v>
      </c>
      <c r="E7" s="6" t="s">
        <v>147</v>
      </c>
      <c r="F7" s="6" t="n">
        <v>1</v>
      </c>
      <c r="G7" s="6" t="n">
        <v>1</v>
      </c>
      <c r="H7" s="7" t="s">
        <v>148</v>
      </c>
      <c r="I7" s="7" t="s">
        <v>148</v>
      </c>
      <c r="J7" s="7" t="s">
        <v>148</v>
      </c>
      <c r="K7" s="7" t="s">
        <v>148</v>
      </c>
      <c r="L7" s="7" t="s">
        <v>149</v>
      </c>
      <c r="M7" s="7" t="s">
        <v>150</v>
      </c>
      <c r="N7" s="7" t="s">
        <v>155</v>
      </c>
    </row>
    <row r="8" customFormat="false" ht="15" hidden="false" customHeight="false" outlineLevel="0" collapsed="false">
      <c r="A8" s="6" t="n">
        <v>4</v>
      </c>
      <c r="B8" s="7" t="s">
        <v>156</v>
      </c>
      <c r="C8" s="7" t="s">
        <v>156</v>
      </c>
      <c r="D8" s="7" t="s">
        <v>31</v>
      </c>
      <c r="E8" s="6" t="s">
        <v>147</v>
      </c>
      <c r="F8" s="6" t="n">
        <v>1</v>
      </c>
      <c r="G8" s="6" t="n">
        <v>0.8</v>
      </c>
      <c r="H8" s="7" t="s">
        <v>148</v>
      </c>
      <c r="I8" s="7" t="s">
        <v>148</v>
      </c>
      <c r="J8" s="7" t="s">
        <v>148</v>
      </c>
      <c r="K8" s="7" t="s">
        <v>148</v>
      </c>
      <c r="L8" s="7" t="s">
        <v>149</v>
      </c>
      <c r="M8" s="7" t="s">
        <v>150</v>
      </c>
      <c r="N8" s="7" t="s">
        <v>157</v>
      </c>
    </row>
    <row r="9" customFormat="false" ht="15" hidden="false" customHeight="false" outlineLevel="0" collapsed="false">
      <c r="A9" s="6" t="n">
        <v>5</v>
      </c>
      <c r="B9" s="7" t="s">
        <v>158</v>
      </c>
      <c r="C9" s="7" t="s">
        <v>158</v>
      </c>
      <c r="D9" s="7" t="s">
        <v>31</v>
      </c>
      <c r="E9" s="6" t="s">
        <v>147</v>
      </c>
      <c r="F9" s="6" t="n">
        <v>1</v>
      </c>
      <c r="G9" s="6" t="n">
        <v>0.3</v>
      </c>
      <c r="H9" s="7" t="s">
        <v>148</v>
      </c>
      <c r="I9" s="7" t="s">
        <v>148</v>
      </c>
      <c r="J9" s="7" t="s">
        <v>148</v>
      </c>
      <c r="K9" s="7" t="s">
        <v>148</v>
      </c>
      <c r="L9" s="7" t="s">
        <v>149</v>
      </c>
      <c r="M9" s="7" t="s">
        <v>150</v>
      </c>
      <c r="N9" s="7" t="s">
        <v>159</v>
      </c>
    </row>
    <row r="10" customFormat="false" ht="15" hidden="false" customHeight="false" outlineLevel="0" collapsed="false">
      <c r="A10" s="6" t="n">
        <v>6</v>
      </c>
      <c r="B10" s="7" t="s">
        <v>160</v>
      </c>
      <c r="C10" s="7" t="s">
        <v>160</v>
      </c>
      <c r="D10" s="7" t="s">
        <v>160</v>
      </c>
      <c r="E10" s="6" t="s">
        <v>147</v>
      </c>
      <c r="F10" s="6" t="n">
        <v>4</v>
      </c>
      <c r="G10" s="6" t="n">
        <v>0.3</v>
      </c>
      <c r="H10" s="7" t="s">
        <v>148</v>
      </c>
      <c r="I10" s="7" t="s">
        <v>161</v>
      </c>
      <c r="J10" s="7" t="s">
        <v>148</v>
      </c>
      <c r="K10" s="7" t="s">
        <v>148</v>
      </c>
      <c r="L10" s="7" t="s">
        <v>162</v>
      </c>
      <c r="M10" s="7" t="s">
        <v>150</v>
      </c>
      <c r="N10" s="7" t="s">
        <v>163</v>
      </c>
    </row>
    <row r="11" customFormat="false" ht="15" hidden="false" customHeight="false" outlineLevel="0" collapsed="false">
      <c r="A11" s="6" t="n">
        <v>7</v>
      </c>
      <c r="B11" s="7" t="s">
        <v>164</v>
      </c>
      <c r="C11" s="7" t="s">
        <v>10</v>
      </c>
      <c r="D11" s="7" t="s">
        <v>164</v>
      </c>
      <c r="E11" s="6" t="s">
        <v>165</v>
      </c>
      <c r="F11" s="6" t="n">
        <v>1</v>
      </c>
      <c r="G11" s="6" t="n">
        <v>10</v>
      </c>
      <c r="H11" s="7" t="s">
        <v>149</v>
      </c>
      <c r="I11" s="7" t="s">
        <v>149</v>
      </c>
      <c r="J11" s="7" t="s">
        <v>149</v>
      </c>
      <c r="K11" s="7" t="s">
        <v>149</v>
      </c>
      <c r="L11" s="7" t="s">
        <v>166</v>
      </c>
      <c r="M11" s="7" t="s">
        <v>149</v>
      </c>
      <c r="N11" s="7" t="s">
        <v>167</v>
      </c>
    </row>
    <row r="12" customFormat="false" ht="23.85" hidden="false" customHeight="false" outlineLevel="0" collapsed="false">
      <c r="A12" s="6" t="n">
        <v>8</v>
      </c>
      <c r="B12" s="7" t="s">
        <v>168</v>
      </c>
      <c r="C12" s="7" t="s">
        <v>10</v>
      </c>
      <c r="D12" s="7" t="s">
        <v>164</v>
      </c>
      <c r="E12" s="6" t="s">
        <v>165</v>
      </c>
      <c r="F12" s="6" t="n">
        <v>4</v>
      </c>
      <c r="G12" s="6" t="n">
        <v>1</v>
      </c>
      <c r="H12" s="7" t="s">
        <v>149</v>
      </c>
      <c r="I12" s="7" t="s">
        <v>169</v>
      </c>
      <c r="J12" s="7" t="s">
        <v>149</v>
      </c>
      <c r="K12" s="7" t="s">
        <v>149</v>
      </c>
      <c r="L12" s="7" t="s">
        <v>149</v>
      </c>
      <c r="M12" s="7" t="s">
        <v>162</v>
      </c>
      <c r="N12" s="7" t="s">
        <v>170</v>
      </c>
    </row>
    <row r="13" customFormat="false" ht="23.85" hidden="false" customHeight="false" outlineLevel="0" collapsed="false">
      <c r="A13" s="6" t="n">
        <v>9</v>
      </c>
      <c r="B13" s="7" t="s">
        <v>171</v>
      </c>
      <c r="C13" s="7" t="s">
        <v>171</v>
      </c>
      <c r="D13" s="7" t="s">
        <v>43</v>
      </c>
      <c r="E13" s="6" t="s">
        <v>147</v>
      </c>
      <c r="F13" s="6" t="n">
        <v>4</v>
      </c>
      <c r="G13" s="6" t="n">
        <v>1</v>
      </c>
      <c r="H13" s="7" t="s">
        <v>172</v>
      </c>
      <c r="I13" s="7" t="s">
        <v>173</v>
      </c>
      <c r="J13" s="7" t="s">
        <v>174</v>
      </c>
      <c r="K13" s="7" t="s">
        <v>173</v>
      </c>
      <c r="L13" s="7" t="s">
        <v>45</v>
      </c>
      <c r="M13" s="7" t="s">
        <v>150</v>
      </c>
      <c r="N13" s="7" t="s">
        <v>175</v>
      </c>
    </row>
    <row r="14" customFormat="false" ht="15" hidden="false" customHeight="false" outlineLevel="0" collapsed="false">
      <c r="A14" s="6" t="n">
        <v>10</v>
      </c>
      <c r="B14" s="7" t="s">
        <v>176</v>
      </c>
      <c r="C14" s="7" t="s">
        <v>176</v>
      </c>
      <c r="D14" s="7" t="s">
        <v>43</v>
      </c>
      <c r="E14" s="6" t="s">
        <v>147</v>
      </c>
      <c r="F14" s="6" t="n">
        <v>4</v>
      </c>
      <c r="G14" s="6" t="n">
        <v>0.3</v>
      </c>
      <c r="H14" s="7" t="s">
        <v>172</v>
      </c>
      <c r="I14" s="7" t="s">
        <v>173</v>
      </c>
      <c r="J14" s="7" t="s">
        <v>174</v>
      </c>
      <c r="K14" s="7" t="s">
        <v>173</v>
      </c>
      <c r="L14" s="7" t="s">
        <v>45</v>
      </c>
      <c r="M14" s="7" t="s">
        <v>150</v>
      </c>
      <c r="N14" s="7" t="s">
        <v>177</v>
      </c>
    </row>
    <row r="15" customFormat="false" ht="15" hidden="false" customHeight="false" outlineLevel="0" collapsed="false">
      <c r="A15" s="6" t="n">
        <v>11</v>
      </c>
      <c r="B15" s="7" t="s">
        <v>178</v>
      </c>
      <c r="C15" s="7" t="s">
        <v>178</v>
      </c>
      <c r="D15" s="7" t="s">
        <v>43</v>
      </c>
      <c r="E15" s="6" t="s">
        <v>147</v>
      </c>
      <c r="F15" s="6" t="n">
        <v>4</v>
      </c>
      <c r="G15" s="6" t="n">
        <v>0.3</v>
      </c>
      <c r="H15" s="7" t="s">
        <v>172</v>
      </c>
      <c r="I15" s="7" t="s">
        <v>173</v>
      </c>
      <c r="J15" s="7" t="s">
        <v>174</v>
      </c>
      <c r="K15" s="7" t="s">
        <v>173</v>
      </c>
      <c r="L15" s="7" t="s">
        <v>45</v>
      </c>
      <c r="M15" s="7" t="s">
        <v>150</v>
      </c>
      <c r="N15" s="7" t="s">
        <v>179</v>
      </c>
    </row>
    <row r="16" customFormat="false" ht="15" hidden="false" customHeight="false" outlineLevel="0" collapsed="false">
      <c r="A16" s="6" t="n">
        <v>12</v>
      </c>
      <c r="B16" s="7" t="s">
        <v>180</v>
      </c>
      <c r="C16" s="7" t="s">
        <v>180</v>
      </c>
      <c r="D16" s="7" t="s">
        <v>43</v>
      </c>
      <c r="E16" s="6" t="s">
        <v>147</v>
      </c>
      <c r="F16" s="6" t="n">
        <v>4</v>
      </c>
      <c r="G16" s="6" t="n">
        <v>0.3</v>
      </c>
      <c r="H16" s="7" t="s">
        <v>172</v>
      </c>
      <c r="I16" s="7" t="s">
        <v>173</v>
      </c>
      <c r="J16" s="7" t="s">
        <v>174</v>
      </c>
      <c r="K16" s="7" t="s">
        <v>173</v>
      </c>
      <c r="L16" s="7" t="s">
        <v>45</v>
      </c>
      <c r="M16" s="7" t="s">
        <v>150</v>
      </c>
      <c r="N16" s="7" t="s">
        <v>181</v>
      </c>
    </row>
    <row r="17" customFormat="false" ht="15" hidden="false" customHeight="false" outlineLevel="0" collapsed="false">
      <c r="A17" s="6" t="n">
        <v>13</v>
      </c>
      <c r="B17" s="7" t="s">
        <v>182</v>
      </c>
      <c r="C17" s="7" t="s">
        <v>182</v>
      </c>
      <c r="D17" s="7" t="s">
        <v>43</v>
      </c>
      <c r="E17" s="6" t="s">
        <v>147</v>
      </c>
      <c r="F17" s="6" t="n">
        <v>4</v>
      </c>
      <c r="G17" s="6" t="n">
        <v>0.3</v>
      </c>
      <c r="H17" s="7" t="s">
        <v>172</v>
      </c>
      <c r="I17" s="7" t="s">
        <v>173</v>
      </c>
      <c r="J17" s="7" t="s">
        <v>174</v>
      </c>
      <c r="K17" s="7" t="s">
        <v>173</v>
      </c>
      <c r="L17" s="7" t="s">
        <v>45</v>
      </c>
      <c r="M17" s="7" t="s">
        <v>150</v>
      </c>
      <c r="N17" s="7" t="s">
        <v>183</v>
      </c>
    </row>
    <row r="18" customFormat="false" ht="15" hidden="false" customHeight="false" outlineLevel="0" collapsed="false">
      <c r="A18" s="6" t="n">
        <v>14</v>
      </c>
      <c r="B18" s="7" t="s">
        <v>184</v>
      </c>
      <c r="C18" s="7" t="s">
        <v>184</v>
      </c>
      <c r="D18" s="7" t="s">
        <v>43</v>
      </c>
      <c r="E18" s="6" t="s">
        <v>165</v>
      </c>
      <c r="F18" s="6" t="n">
        <v>4</v>
      </c>
      <c r="G18" s="6" t="n">
        <v>1</v>
      </c>
      <c r="H18" s="7" t="s">
        <v>185</v>
      </c>
      <c r="I18" s="7" t="s">
        <v>186</v>
      </c>
      <c r="J18" s="7" t="s">
        <v>185</v>
      </c>
      <c r="K18" s="7" t="s">
        <v>186</v>
      </c>
      <c r="L18" s="7" t="s">
        <v>45</v>
      </c>
      <c r="M18" s="7" t="s">
        <v>45</v>
      </c>
      <c r="N18" s="7" t="s">
        <v>187</v>
      </c>
    </row>
    <row r="19" customFormat="false" ht="15" hidden="false" customHeight="false" outlineLevel="0" collapsed="false">
      <c r="A19" s="6" t="n">
        <v>15</v>
      </c>
      <c r="B19" s="7" t="s">
        <v>188</v>
      </c>
      <c r="C19" s="7" t="s">
        <v>188</v>
      </c>
      <c r="D19" s="7" t="s">
        <v>43</v>
      </c>
      <c r="E19" s="6" t="s">
        <v>165</v>
      </c>
      <c r="F19" s="6" t="n">
        <v>4</v>
      </c>
      <c r="G19" s="6" t="n">
        <v>0.3</v>
      </c>
      <c r="H19" s="7" t="s">
        <v>185</v>
      </c>
      <c r="I19" s="7" t="s">
        <v>186</v>
      </c>
      <c r="J19" s="7" t="s">
        <v>185</v>
      </c>
      <c r="K19" s="7" t="s">
        <v>186</v>
      </c>
      <c r="L19" s="7" t="s">
        <v>45</v>
      </c>
      <c r="M19" s="7" t="s">
        <v>45</v>
      </c>
      <c r="N19" s="7" t="s">
        <v>189</v>
      </c>
    </row>
    <row r="20" customFormat="false" ht="15" hidden="false" customHeight="false" outlineLevel="0" collapsed="false">
      <c r="A20" s="6" t="n">
        <v>16</v>
      </c>
      <c r="B20" s="7" t="s">
        <v>190</v>
      </c>
      <c r="C20" s="7" t="s">
        <v>190</v>
      </c>
      <c r="D20" s="7" t="s">
        <v>43</v>
      </c>
      <c r="E20" s="6" t="s">
        <v>165</v>
      </c>
      <c r="F20" s="6" t="n">
        <v>4</v>
      </c>
      <c r="G20" s="6" t="n">
        <v>0.3</v>
      </c>
      <c r="H20" s="7" t="s">
        <v>185</v>
      </c>
      <c r="I20" s="7" t="s">
        <v>186</v>
      </c>
      <c r="J20" s="7" t="s">
        <v>185</v>
      </c>
      <c r="K20" s="7" t="s">
        <v>186</v>
      </c>
      <c r="L20" s="7" t="s">
        <v>45</v>
      </c>
      <c r="M20" s="7" t="s">
        <v>45</v>
      </c>
      <c r="N20" s="7" t="s">
        <v>191</v>
      </c>
    </row>
    <row r="21" customFormat="false" ht="15" hidden="false" customHeight="false" outlineLevel="0" collapsed="false">
      <c r="A21" s="6" t="n">
        <v>17</v>
      </c>
      <c r="B21" s="7" t="s">
        <v>192</v>
      </c>
      <c r="C21" s="7" t="s">
        <v>192</v>
      </c>
      <c r="D21" s="7" t="s">
        <v>43</v>
      </c>
      <c r="E21" s="6" t="s">
        <v>165</v>
      </c>
      <c r="F21" s="6" t="n">
        <v>4</v>
      </c>
      <c r="G21" s="6" t="n">
        <v>1</v>
      </c>
      <c r="H21" s="7" t="s">
        <v>193</v>
      </c>
      <c r="I21" s="7" t="s">
        <v>186</v>
      </c>
      <c r="J21" s="7" t="s">
        <v>194</v>
      </c>
      <c r="K21" s="7" t="s">
        <v>186</v>
      </c>
      <c r="L21" s="7" t="s">
        <v>149</v>
      </c>
      <c r="M21" s="7" t="s">
        <v>45</v>
      </c>
      <c r="N21" s="7" t="s">
        <v>195</v>
      </c>
    </row>
    <row r="22" customFormat="false" ht="15" hidden="false" customHeight="false" outlineLevel="0" collapsed="false">
      <c r="A22" s="6" t="n">
        <v>18</v>
      </c>
      <c r="B22" s="7" t="s">
        <v>196</v>
      </c>
      <c r="C22" s="7" t="s">
        <v>196</v>
      </c>
      <c r="D22" s="7" t="s">
        <v>43</v>
      </c>
      <c r="E22" s="6" t="s">
        <v>165</v>
      </c>
      <c r="F22" s="6" t="n">
        <v>4</v>
      </c>
      <c r="G22" s="6" t="n">
        <v>0.3</v>
      </c>
      <c r="H22" s="7" t="s">
        <v>193</v>
      </c>
      <c r="I22" s="7" t="s">
        <v>186</v>
      </c>
      <c r="J22" s="7" t="s">
        <v>194</v>
      </c>
      <c r="K22" s="7" t="s">
        <v>186</v>
      </c>
      <c r="L22" s="7" t="s">
        <v>149</v>
      </c>
      <c r="M22" s="7" t="s">
        <v>45</v>
      </c>
      <c r="N22" s="7" t="s">
        <v>197</v>
      </c>
    </row>
    <row r="23" customFormat="false" ht="15" hidden="false" customHeight="false" outlineLevel="0" collapsed="false">
      <c r="A23" s="6" t="n">
        <v>19</v>
      </c>
      <c r="B23" s="7" t="s">
        <v>198</v>
      </c>
      <c r="C23" s="7" t="s">
        <v>198</v>
      </c>
      <c r="D23" s="7" t="s">
        <v>43</v>
      </c>
      <c r="E23" s="6" t="s">
        <v>165</v>
      </c>
      <c r="F23" s="6" t="n">
        <v>4</v>
      </c>
      <c r="G23" s="6" t="n">
        <v>0.3</v>
      </c>
      <c r="H23" s="7" t="s">
        <v>193</v>
      </c>
      <c r="I23" s="7" t="s">
        <v>186</v>
      </c>
      <c r="J23" s="7" t="s">
        <v>194</v>
      </c>
      <c r="K23" s="7" t="s">
        <v>186</v>
      </c>
      <c r="L23" s="7" t="s">
        <v>149</v>
      </c>
      <c r="M23" s="7" t="s">
        <v>45</v>
      </c>
      <c r="N23" s="7" t="s">
        <v>199</v>
      </c>
    </row>
    <row r="24" customFormat="false" ht="23.85" hidden="false" customHeight="false" outlineLevel="0" collapsed="false">
      <c r="A24" s="6" t="n">
        <v>20</v>
      </c>
      <c r="B24" s="7" t="s">
        <v>200</v>
      </c>
      <c r="C24" s="7" t="s">
        <v>200</v>
      </c>
      <c r="D24" s="7" t="s">
        <v>43</v>
      </c>
      <c r="E24" s="6" t="s">
        <v>165</v>
      </c>
      <c r="F24" s="6" t="n">
        <v>4</v>
      </c>
      <c r="G24" s="6" t="n">
        <v>1</v>
      </c>
      <c r="H24" s="7" t="s">
        <v>193</v>
      </c>
      <c r="I24" s="7" t="s">
        <v>201</v>
      </c>
      <c r="J24" s="7" t="s">
        <v>194</v>
      </c>
      <c r="K24" s="7" t="s">
        <v>186</v>
      </c>
      <c r="L24" s="7" t="s">
        <v>149</v>
      </c>
      <c r="M24" s="7" t="s">
        <v>45</v>
      </c>
      <c r="N24" s="7" t="s">
        <v>202</v>
      </c>
    </row>
    <row r="25" customFormat="false" ht="15" hidden="false" customHeight="false" outlineLevel="0" collapsed="false">
      <c r="A25" s="6" t="n">
        <v>21</v>
      </c>
      <c r="B25" s="7" t="s">
        <v>203</v>
      </c>
      <c r="C25" s="7" t="s">
        <v>203</v>
      </c>
      <c r="D25" s="7" t="s">
        <v>204</v>
      </c>
      <c r="E25" s="6" t="s">
        <v>147</v>
      </c>
      <c r="F25" s="6" t="n">
        <v>4</v>
      </c>
      <c r="G25" s="6" t="n">
        <v>1</v>
      </c>
      <c r="H25" s="7" t="s">
        <v>172</v>
      </c>
      <c r="I25" s="7" t="s">
        <v>174</v>
      </c>
      <c r="J25" s="7" t="s">
        <v>173</v>
      </c>
      <c r="K25" s="7" t="s">
        <v>173</v>
      </c>
      <c r="L25" s="7" t="s">
        <v>50</v>
      </c>
      <c r="M25" s="7" t="s">
        <v>150</v>
      </c>
      <c r="N25" s="7" t="s">
        <v>205</v>
      </c>
    </row>
    <row r="26" customFormat="false" ht="15" hidden="false" customHeight="false" outlineLevel="0" collapsed="false">
      <c r="A26" s="6" t="n">
        <v>22</v>
      </c>
      <c r="B26" s="7" t="s">
        <v>206</v>
      </c>
      <c r="C26" s="7" t="s">
        <v>206</v>
      </c>
      <c r="D26" s="7" t="s">
        <v>204</v>
      </c>
      <c r="E26" s="6" t="s">
        <v>165</v>
      </c>
      <c r="F26" s="6" t="n">
        <v>4</v>
      </c>
      <c r="G26" s="6" t="n">
        <v>1</v>
      </c>
      <c r="H26" s="7" t="s">
        <v>185</v>
      </c>
      <c r="I26" s="7" t="s">
        <v>185</v>
      </c>
      <c r="J26" s="7" t="s">
        <v>186</v>
      </c>
      <c r="K26" s="7" t="s">
        <v>186</v>
      </c>
      <c r="L26" s="7" t="s">
        <v>50</v>
      </c>
      <c r="M26" s="7" t="s">
        <v>50</v>
      </c>
      <c r="N26" s="7" t="s">
        <v>207</v>
      </c>
    </row>
    <row r="27" customFormat="false" ht="15" hidden="false" customHeight="false" outlineLevel="0" collapsed="false">
      <c r="A27" s="6" t="n">
        <v>23</v>
      </c>
      <c r="B27" s="7" t="s">
        <v>208</v>
      </c>
      <c r="C27" s="7" t="s">
        <v>208</v>
      </c>
      <c r="D27" s="7" t="s">
        <v>204</v>
      </c>
      <c r="E27" s="6" t="s">
        <v>165</v>
      </c>
      <c r="F27" s="6" t="n">
        <v>4</v>
      </c>
      <c r="G27" s="6" t="n">
        <v>1</v>
      </c>
      <c r="H27" s="7" t="s">
        <v>193</v>
      </c>
      <c r="I27" s="7" t="s">
        <v>194</v>
      </c>
      <c r="J27" s="7" t="s">
        <v>186</v>
      </c>
      <c r="K27" s="7" t="s">
        <v>186</v>
      </c>
      <c r="L27" s="7" t="s">
        <v>149</v>
      </c>
      <c r="M27" s="7" t="s">
        <v>50</v>
      </c>
      <c r="N27" s="7" t="s">
        <v>209</v>
      </c>
    </row>
    <row r="28" customFormat="false" ht="15" hidden="false" customHeight="false" outlineLevel="0" collapsed="false">
      <c r="A28" s="6" t="n">
        <v>24</v>
      </c>
      <c r="B28" s="7" t="s">
        <v>210</v>
      </c>
      <c r="C28" s="7" t="s">
        <v>210</v>
      </c>
      <c r="D28" s="7" t="s">
        <v>59</v>
      </c>
      <c r="E28" s="6" t="s">
        <v>147</v>
      </c>
      <c r="F28" s="6" t="n">
        <v>4</v>
      </c>
      <c r="G28" s="6" t="n">
        <v>1</v>
      </c>
      <c r="H28" s="7" t="s">
        <v>211</v>
      </c>
      <c r="I28" s="7" t="s">
        <v>212</v>
      </c>
      <c r="J28" s="7" t="s">
        <v>213</v>
      </c>
      <c r="K28" s="7" t="s">
        <v>213</v>
      </c>
      <c r="L28" s="7" t="s">
        <v>214</v>
      </c>
      <c r="M28" s="7" t="s">
        <v>150</v>
      </c>
      <c r="N28" s="7" t="s">
        <v>215</v>
      </c>
    </row>
    <row r="29" customFormat="false" ht="15" hidden="false" customHeight="false" outlineLevel="0" collapsed="false">
      <c r="A29" s="6" t="n">
        <v>25</v>
      </c>
      <c r="B29" s="7" t="s">
        <v>216</v>
      </c>
      <c r="C29" s="7" t="s">
        <v>216</v>
      </c>
      <c r="D29" s="7" t="s">
        <v>59</v>
      </c>
      <c r="E29" s="6" t="s">
        <v>165</v>
      </c>
      <c r="F29" s="6" t="n">
        <v>4</v>
      </c>
      <c r="G29" s="6" t="n">
        <v>3</v>
      </c>
      <c r="H29" s="7" t="s">
        <v>211</v>
      </c>
      <c r="I29" s="7" t="s">
        <v>212</v>
      </c>
      <c r="J29" s="7" t="s">
        <v>213</v>
      </c>
      <c r="K29" s="7" t="s">
        <v>213</v>
      </c>
      <c r="L29" s="7" t="s">
        <v>214</v>
      </c>
      <c r="M29" s="7" t="s">
        <v>214</v>
      </c>
      <c r="N29" s="7" t="s">
        <v>217</v>
      </c>
    </row>
    <row r="30" customFormat="false" ht="15" hidden="false" customHeight="false" outlineLevel="0" collapsed="false">
      <c r="A30" s="6" t="n">
        <v>26</v>
      </c>
      <c r="B30" s="7" t="s">
        <v>218</v>
      </c>
      <c r="C30" s="7" t="s">
        <v>218</v>
      </c>
      <c r="D30" s="7" t="s">
        <v>59</v>
      </c>
      <c r="E30" s="6" t="s">
        <v>165</v>
      </c>
      <c r="F30" s="6" t="n">
        <v>4</v>
      </c>
      <c r="G30" s="6" t="n">
        <v>3</v>
      </c>
      <c r="H30" s="7" t="s">
        <v>211</v>
      </c>
      <c r="I30" s="7" t="s">
        <v>212</v>
      </c>
      <c r="J30" s="7" t="s">
        <v>213</v>
      </c>
      <c r="K30" s="7" t="s">
        <v>213</v>
      </c>
      <c r="L30" s="7" t="s">
        <v>214</v>
      </c>
      <c r="M30" s="7" t="s">
        <v>214</v>
      </c>
      <c r="N30" s="7" t="s">
        <v>219</v>
      </c>
    </row>
    <row r="31" customFormat="false" ht="15" hidden="false" customHeight="false" outlineLevel="0" collapsed="false">
      <c r="A31" s="6" t="n">
        <v>27</v>
      </c>
      <c r="B31" s="7" t="s">
        <v>220</v>
      </c>
      <c r="C31" s="7" t="s">
        <v>220</v>
      </c>
      <c r="D31" s="7" t="s">
        <v>59</v>
      </c>
      <c r="E31" s="6" t="s">
        <v>165</v>
      </c>
      <c r="F31" s="6" t="n">
        <v>4</v>
      </c>
      <c r="G31" s="6" t="n">
        <v>3</v>
      </c>
      <c r="H31" s="7" t="s">
        <v>211</v>
      </c>
      <c r="I31" s="7" t="s">
        <v>212</v>
      </c>
      <c r="J31" s="7" t="s">
        <v>213</v>
      </c>
      <c r="K31" s="7" t="s">
        <v>201</v>
      </c>
      <c r="L31" s="7" t="s">
        <v>214</v>
      </c>
      <c r="M31" s="7" t="s">
        <v>214</v>
      </c>
      <c r="N31" s="7" t="s">
        <v>221</v>
      </c>
    </row>
    <row r="32" customFormat="false" ht="15" hidden="false" customHeight="false" outlineLevel="0" collapsed="false">
      <c r="A32" s="6" t="n">
        <v>28</v>
      </c>
      <c r="B32" s="7" t="s">
        <v>222</v>
      </c>
      <c r="C32" s="7" t="s">
        <v>222</v>
      </c>
      <c r="D32" s="7" t="s">
        <v>59</v>
      </c>
      <c r="E32" s="6" t="s">
        <v>165</v>
      </c>
      <c r="F32" s="6" t="n">
        <v>4</v>
      </c>
      <c r="G32" s="6" t="n">
        <v>1</v>
      </c>
      <c r="H32" s="7" t="s">
        <v>223</v>
      </c>
      <c r="I32" s="7" t="s">
        <v>224</v>
      </c>
      <c r="J32" s="7" t="s">
        <v>213</v>
      </c>
      <c r="K32" s="7" t="s">
        <v>213</v>
      </c>
      <c r="L32" s="7" t="s">
        <v>149</v>
      </c>
      <c r="M32" s="7" t="s">
        <v>214</v>
      </c>
      <c r="N32" s="7" t="s">
        <v>225</v>
      </c>
    </row>
    <row r="33" customFormat="false" ht="15" hidden="false" customHeight="false" outlineLevel="0" collapsed="false">
      <c r="A33" s="6" t="n">
        <v>29</v>
      </c>
      <c r="B33" s="7" t="s">
        <v>226</v>
      </c>
      <c r="C33" s="7" t="s">
        <v>226</v>
      </c>
      <c r="D33" s="7" t="s">
        <v>59</v>
      </c>
      <c r="E33" s="6" t="s">
        <v>165</v>
      </c>
      <c r="F33" s="6" t="n">
        <v>4</v>
      </c>
      <c r="G33" s="6" t="n">
        <v>0.5</v>
      </c>
      <c r="H33" s="7" t="s">
        <v>223</v>
      </c>
      <c r="I33" s="7" t="s">
        <v>224</v>
      </c>
      <c r="J33" s="7" t="s">
        <v>213</v>
      </c>
      <c r="K33" s="7" t="s">
        <v>213</v>
      </c>
      <c r="L33" s="7" t="s">
        <v>149</v>
      </c>
      <c r="M33" s="7" t="s">
        <v>214</v>
      </c>
      <c r="N33" s="7" t="s">
        <v>227</v>
      </c>
    </row>
    <row r="34" customFormat="false" ht="15" hidden="false" customHeight="false" outlineLevel="0" collapsed="false">
      <c r="A34" s="6" t="n">
        <v>30</v>
      </c>
      <c r="B34" s="7" t="s">
        <v>228</v>
      </c>
      <c r="C34" s="7" t="s">
        <v>228</v>
      </c>
      <c r="D34" s="7" t="s">
        <v>59</v>
      </c>
      <c r="E34" s="6" t="s">
        <v>165</v>
      </c>
      <c r="F34" s="6" t="n">
        <v>4</v>
      </c>
      <c r="G34" s="6" t="n">
        <v>1</v>
      </c>
      <c r="H34" s="7" t="s">
        <v>229</v>
      </c>
      <c r="I34" s="7" t="s">
        <v>230</v>
      </c>
      <c r="J34" s="7" t="s">
        <v>231</v>
      </c>
      <c r="K34" s="7" t="s">
        <v>231</v>
      </c>
      <c r="L34" s="7" t="s">
        <v>232</v>
      </c>
      <c r="M34" s="7" t="s">
        <v>214</v>
      </c>
      <c r="N34" s="7" t="s">
        <v>233</v>
      </c>
    </row>
    <row r="35" customFormat="false" ht="15" hidden="false" customHeight="false" outlineLevel="0" collapsed="false">
      <c r="A35" s="6" t="n">
        <v>31</v>
      </c>
      <c r="B35" s="7" t="s">
        <v>234</v>
      </c>
      <c r="C35" s="7" t="s">
        <v>234</v>
      </c>
      <c r="D35" s="7" t="s">
        <v>59</v>
      </c>
      <c r="E35" s="6" t="s">
        <v>165</v>
      </c>
      <c r="F35" s="6" t="n">
        <v>4</v>
      </c>
      <c r="G35" s="6" t="n">
        <v>1</v>
      </c>
      <c r="H35" s="7" t="s">
        <v>235</v>
      </c>
      <c r="I35" s="7" t="s">
        <v>236</v>
      </c>
      <c r="J35" s="7" t="s">
        <v>149</v>
      </c>
      <c r="K35" s="7" t="s">
        <v>149</v>
      </c>
      <c r="L35" s="7" t="s">
        <v>149</v>
      </c>
      <c r="M35" s="7" t="s">
        <v>232</v>
      </c>
      <c r="N35" s="7" t="s">
        <v>237</v>
      </c>
    </row>
    <row r="36" customFormat="false" ht="15" hidden="false" customHeight="false" outlineLevel="0" collapsed="false">
      <c r="A36" s="6" t="n">
        <v>32</v>
      </c>
      <c r="B36" s="7" t="s">
        <v>238</v>
      </c>
      <c r="C36" s="7" t="s">
        <v>239</v>
      </c>
      <c r="D36" s="7" t="s">
        <v>74</v>
      </c>
      <c r="E36" s="6" t="s">
        <v>147</v>
      </c>
      <c r="F36" s="6" t="n">
        <v>4</v>
      </c>
      <c r="G36" s="6" t="n">
        <v>1</v>
      </c>
      <c r="H36" s="7" t="s">
        <v>240</v>
      </c>
      <c r="I36" s="7" t="s">
        <v>241</v>
      </c>
      <c r="J36" s="7" t="s">
        <v>242</v>
      </c>
      <c r="K36" s="7" t="s">
        <v>243</v>
      </c>
      <c r="L36" s="7" t="s">
        <v>244</v>
      </c>
      <c r="M36" s="7" t="s">
        <v>150</v>
      </c>
      <c r="N36" s="7" t="s">
        <v>245</v>
      </c>
    </row>
    <row r="37" customFormat="false" ht="15" hidden="false" customHeight="false" outlineLevel="0" collapsed="false">
      <c r="A37" s="6" t="n">
        <v>33</v>
      </c>
      <c r="B37" s="7" t="s">
        <v>246</v>
      </c>
      <c r="C37" s="7" t="s">
        <v>247</v>
      </c>
      <c r="D37" s="7" t="s">
        <v>74</v>
      </c>
      <c r="E37" s="6" t="s">
        <v>147</v>
      </c>
      <c r="F37" s="6" t="n">
        <v>4</v>
      </c>
      <c r="G37" s="6" t="n">
        <v>1</v>
      </c>
      <c r="H37" s="7" t="s">
        <v>240</v>
      </c>
      <c r="I37" s="7" t="s">
        <v>241</v>
      </c>
      <c r="J37" s="7" t="s">
        <v>242</v>
      </c>
      <c r="K37" s="7" t="s">
        <v>243</v>
      </c>
      <c r="L37" s="7" t="s">
        <v>244</v>
      </c>
      <c r="M37" s="7" t="s">
        <v>150</v>
      </c>
      <c r="N37" s="7" t="s">
        <v>248</v>
      </c>
    </row>
    <row r="38" customFormat="false" ht="23.85" hidden="false" customHeight="false" outlineLevel="0" collapsed="false">
      <c r="A38" s="6" t="n">
        <v>34</v>
      </c>
      <c r="B38" s="7" t="s">
        <v>249</v>
      </c>
      <c r="C38" s="7" t="s">
        <v>250</v>
      </c>
      <c r="D38" s="7" t="s">
        <v>74</v>
      </c>
      <c r="E38" s="6" t="s">
        <v>147</v>
      </c>
      <c r="F38" s="6" t="n">
        <v>4</v>
      </c>
      <c r="G38" s="6" t="n">
        <v>1</v>
      </c>
      <c r="H38" s="7" t="s">
        <v>240</v>
      </c>
      <c r="I38" s="7" t="s">
        <v>242</v>
      </c>
      <c r="J38" s="7" t="s">
        <v>243</v>
      </c>
      <c r="K38" s="7" t="s">
        <v>243</v>
      </c>
      <c r="L38" s="7" t="s">
        <v>251</v>
      </c>
      <c r="M38" s="7" t="s">
        <v>150</v>
      </c>
      <c r="N38" s="7" t="s">
        <v>252</v>
      </c>
    </row>
    <row r="39" customFormat="false" ht="15" hidden="false" customHeight="false" outlineLevel="0" collapsed="false">
      <c r="A39" s="6" t="n">
        <v>35</v>
      </c>
      <c r="B39" s="7" t="s">
        <v>253</v>
      </c>
      <c r="C39" s="7" t="s">
        <v>146</v>
      </c>
      <c r="D39" s="7" t="s">
        <v>74</v>
      </c>
      <c r="E39" s="6" t="s">
        <v>147</v>
      </c>
      <c r="F39" s="6" t="n">
        <v>1</v>
      </c>
      <c r="G39" s="6" t="n">
        <v>1</v>
      </c>
      <c r="H39" s="7" t="s">
        <v>241</v>
      </c>
      <c r="I39" s="7" t="s">
        <v>241</v>
      </c>
      <c r="J39" s="7" t="s">
        <v>241</v>
      </c>
      <c r="K39" s="7" t="s">
        <v>241</v>
      </c>
      <c r="L39" s="7" t="s">
        <v>254</v>
      </c>
      <c r="M39" s="7" t="s">
        <v>150</v>
      </c>
      <c r="N39" s="7" t="s">
        <v>255</v>
      </c>
    </row>
    <row r="40" customFormat="false" ht="15" hidden="false" customHeight="false" outlineLevel="0" collapsed="false">
      <c r="A40" s="6" t="n">
        <v>36</v>
      </c>
      <c r="B40" s="7" t="s">
        <v>239</v>
      </c>
      <c r="C40" s="7" t="s">
        <v>239</v>
      </c>
      <c r="D40" s="7" t="s">
        <v>74</v>
      </c>
      <c r="E40" s="6" t="s">
        <v>165</v>
      </c>
      <c r="F40" s="6" t="n">
        <v>4</v>
      </c>
      <c r="G40" s="6" t="n">
        <v>1.3</v>
      </c>
      <c r="H40" s="7" t="s">
        <v>240</v>
      </c>
      <c r="I40" s="7" t="s">
        <v>241</v>
      </c>
      <c r="J40" s="7" t="s">
        <v>242</v>
      </c>
      <c r="K40" s="7" t="s">
        <v>243</v>
      </c>
      <c r="L40" s="7" t="s">
        <v>244</v>
      </c>
      <c r="M40" s="7" t="s">
        <v>244</v>
      </c>
      <c r="N40" s="7" t="s">
        <v>256</v>
      </c>
    </row>
    <row r="41" customFormat="false" ht="15" hidden="false" customHeight="false" outlineLevel="0" collapsed="false">
      <c r="A41" s="6" t="n">
        <v>37</v>
      </c>
      <c r="B41" s="7" t="s">
        <v>247</v>
      </c>
      <c r="C41" s="7" t="s">
        <v>247</v>
      </c>
      <c r="D41" s="7" t="s">
        <v>74</v>
      </c>
      <c r="E41" s="6" t="s">
        <v>165</v>
      </c>
      <c r="F41" s="6" t="n">
        <v>4</v>
      </c>
      <c r="G41" s="6" t="n">
        <v>1.3</v>
      </c>
      <c r="H41" s="7" t="s">
        <v>240</v>
      </c>
      <c r="I41" s="7" t="s">
        <v>241</v>
      </c>
      <c r="J41" s="7" t="s">
        <v>242</v>
      </c>
      <c r="K41" s="7" t="s">
        <v>243</v>
      </c>
      <c r="L41" s="7" t="s">
        <v>244</v>
      </c>
      <c r="M41" s="7" t="s">
        <v>244</v>
      </c>
      <c r="N41" s="7" t="s">
        <v>257</v>
      </c>
    </row>
    <row r="42" customFormat="false" ht="15" hidden="false" customHeight="false" outlineLevel="0" collapsed="false">
      <c r="A42" s="6" t="n">
        <v>38</v>
      </c>
      <c r="B42" s="7" t="s">
        <v>258</v>
      </c>
      <c r="C42" s="7" t="s">
        <v>258</v>
      </c>
      <c r="D42" s="7" t="s">
        <v>74</v>
      </c>
      <c r="E42" s="6" t="s">
        <v>165</v>
      </c>
      <c r="F42" s="6" t="n">
        <v>4</v>
      </c>
      <c r="G42" s="6" t="n">
        <v>1.5</v>
      </c>
      <c r="H42" s="7" t="s">
        <v>240</v>
      </c>
      <c r="I42" s="7" t="s">
        <v>241</v>
      </c>
      <c r="J42" s="7" t="s">
        <v>242</v>
      </c>
      <c r="K42" s="7" t="s">
        <v>201</v>
      </c>
      <c r="L42" s="7" t="s">
        <v>244</v>
      </c>
      <c r="M42" s="7" t="s">
        <v>244</v>
      </c>
      <c r="N42" s="7" t="s">
        <v>259</v>
      </c>
    </row>
    <row r="43" customFormat="false" ht="15" hidden="false" customHeight="false" outlineLevel="0" collapsed="false">
      <c r="A43" s="6" t="n">
        <v>39</v>
      </c>
      <c r="B43" s="7" t="s">
        <v>260</v>
      </c>
      <c r="C43" s="7" t="s">
        <v>260</v>
      </c>
      <c r="D43" s="7" t="s">
        <v>74</v>
      </c>
      <c r="E43" s="6" t="s">
        <v>165</v>
      </c>
      <c r="F43" s="6" t="n">
        <v>4</v>
      </c>
      <c r="G43" s="6" t="n">
        <v>1</v>
      </c>
      <c r="H43" s="7" t="s">
        <v>240</v>
      </c>
      <c r="I43" s="7" t="s">
        <v>241</v>
      </c>
      <c r="J43" s="7" t="s">
        <v>242</v>
      </c>
      <c r="K43" s="7" t="s">
        <v>201</v>
      </c>
      <c r="L43" s="7" t="s">
        <v>244</v>
      </c>
      <c r="M43" s="7" t="s">
        <v>244</v>
      </c>
      <c r="N43" s="7" t="s">
        <v>261</v>
      </c>
    </row>
    <row r="44" customFormat="false" ht="15" hidden="false" customHeight="false" outlineLevel="0" collapsed="false">
      <c r="A44" s="6" t="n">
        <v>40</v>
      </c>
      <c r="B44" s="7" t="s">
        <v>250</v>
      </c>
      <c r="C44" s="7" t="s">
        <v>250</v>
      </c>
      <c r="D44" s="7" t="s">
        <v>74</v>
      </c>
      <c r="E44" s="6" t="s">
        <v>165</v>
      </c>
      <c r="F44" s="6" t="n">
        <v>4</v>
      </c>
      <c r="G44" s="6" t="n">
        <v>1</v>
      </c>
      <c r="H44" s="7" t="s">
        <v>240</v>
      </c>
      <c r="I44" s="7" t="s">
        <v>242</v>
      </c>
      <c r="J44" s="7" t="s">
        <v>243</v>
      </c>
      <c r="K44" s="7" t="s">
        <v>243</v>
      </c>
      <c r="L44" s="7" t="s">
        <v>251</v>
      </c>
      <c r="M44" s="7" t="s">
        <v>251</v>
      </c>
      <c r="N44" s="7" t="s">
        <v>262</v>
      </c>
    </row>
    <row r="45" customFormat="false" ht="15" hidden="false" customHeight="false" outlineLevel="0" collapsed="false">
      <c r="A45" s="6" t="n">
        <v>41</v>
      </c>
      <c r="B45" s="7" t="s">
        <v>263</v>
      </c>
      <c r="C45" s="7" t="s">
        <v>10</v>
      </c>
      <c r="D45" s="7" t="s">
        <v>74</v>
      </c>
      <c r="E45" s="6" t="s">
        <v>165</v>
      </c>
      <c r="F45" s="6" t="n">
        <v>1</v>
      </c>
      <c r="G45" s="6" t="n">
        <v>1</v>
      </c>
      <c r="H45" s="7" t="s">
        <v>241</v>
      </c>
      <c r="I45" s="7" t="s">
        <v>241</v>
      </c>
      <c r="J45" s="7" t="s">
        <v>241</v>
      </c>
      <c r="K45" s="7" t="s">
        <v>241</v>
      </c>
      <c r="L45" s="7" t="s">
        <v>254</v>
      </c>
      <c r="M45" s="7" t="s">
        <v>254</v>
      </c>
      <c r="N45" s="7" t="s">
        <v>264</v>
      </c>
    </row>
    <row r="46" customFormat="false" ht="15" hidden="false" customHeight="false" outlineLevel="0" collapsed="false">
      <c r="A46" s="6" t="n">
        <v>42</v>
      </c>
      <c r="B46" s="7" t="s">
        <v>265</v>
      </c>
      <c r="C46" s="7" t="s">
        <v>265</v>
      </c>
      <c r="D46" s="7" t="s">
        <v>266</v>
      </c>
      <c r="E46" s="6" t="s">
        <v>165</v>
      </c>
      <c r="F46" s="6" t="n">
        <v>4</v>
      </c>
      <c r="G46" s="6" t="n">
        <v>1</v>
      </c>
      <c r="H46" s="7" t="s">
        <v>267</v>
      </c>
      <c r="I46" s="7" t="s">
        <v>241</v>
      </c>
      <c r="J46" s="7" t="s">
        <v>268</v>
      </c>
      <c r="K46" s="7" t="s">
        <v>231</v>
      </c>
      <c r="L46" s="7" t="s">
        <v>269</v>
      </c>
      <c r="M46" s="7" t="s">
        <v>244</v>
      </c>
      <c r="N46" s="7" t="s">
        <v>270</v>
      </c>
    </row>
    <row r="47" customFormat="false" ht="15" hidden="false" customHeight="false" outlineLevel="0" collapsed="false">
      <c r="A47" s="6" t="n">
        <v>43</v>
      </c>
      <c r="B47" s="7" t="s">
        <v>271</v>
      </c>
      <c r="C47" s="7" t="s">
        <v>271</v>
      </c>
      <c r="D47" s="7" t="s">
        <v>266</v>
      </c>
      <c r="E47" s="6" t="s">
        <v>165</v>
      </c>
      <c r="F47" s="6" t="n">
        <v>4</v>
      </c>
      <c r="G47" s="6" t="n">
        <v>1</v>
      </c>
      <c r="H47" s="7" t="s">
        <v>267</v>
      </c>
      <c r="I47" s="7" t="s">
        <v>268</v>
      </c>
      <c r="J47" s="7" t="s">
        <v>231</v>
      </c>
      <c r="K47" s="7" t="s">
        <v>231</v>
      </c>
      <c r="L47" s="7" t="s">
        <v>272</v>
      </c>
      <c r="M47" s="7" t="s">
        <v>251</v>
      </c>
      <c r="N47" s="7" t="s">
        <v>273</v>
      </c>
    </row>
    <row r="48" customFormat="false" ht="15" hidden="false" customHeight="false" outlineLevel="0" collapsed="false">
      <c r="A48" s="6" t="n">
        <v>44</v>
      </c>
      <c r="B48" s="7" t="s">
        <v>274</v>
      </c>
      <c r="C48" s="7" t="s">
        <v>274</v>
      </c>
      <c r="D48" s="7" t="s">
        <v>266</v>
      </c>
      <c r="E48" s="6" t="s">
        <v>165</v>
      </c>
      <c r="F48" s="6" t="n">
        <v>4</v>
      </c>
      <c r="G48" s="6" t="n">
        <v>1</v>
      </c>
      <c r="H48" s="7" t="s">
        <v>275</v>
      </c>
      <c r="I48" s="7" t="s">
        <v>276</v>
      </c>
      <c r="J48" s="7" t="s">
        <v>277</v>
      </c>
      <c r="K48" s="7" t="s">
        <v>149</v>
      </c>
      <c r="L48" s="7" t="s">
        <v>149</v>
      </c>
      <c r="M48" s="7" t="s">
        <v>269</v>
      </c>
      <c r="N48" s="7" t="s">
        <v>278</v>
      </c>
    </row>
    <row r="49" customFormat="false" ht="15" hidden="false" customHeight="false" outlineLevel="0" collapsed="false">
      <c r="A49" s="6" t="n">
        <v>45</v>
      </c>
      <c r="B49" s="7" t="s">
        <v>279</v>
      </c>
      <c r="C49" s="7" t="s">
        <v>279</v>
      </c>
      <c r="D49" s="7" t="s">
        <v>266</v>
      </c>
      <c r="E49" s="6" t="s">
        <v>165</v>
      </c>
      <c r="F49" s="6" t="n">
        <v>4</v>
      </c>
      <c r="G49" s="6" t="n">
        <v>1</v>
      </c>
      <c r="H49" s="7" t="s">
        <v>275</v>
      </c>
      <c r="I49" s="7" t="s">
        <v>277</v>
      </c>
      <c r="J49" s="7" t="s">
        <v>149</v>
      </c>
      <c r="K49" s="7" t="s">
        <v>149</v>
      </c>
      <c r="L49" s="7" t="s">
        <v>149</v>
      </c>
      <c r="M49" s="7" t="s">
        <v>272</v>
      </c>
      <c r="N49" s="7" t="s">
        <v>280</v>
      </c>
    </row>
    <row r="50" customFormat="false" ht="15" hidden="false" customHeight="false" outlineLevel="0" collapsed="false">
      <c r="A50" s="6" t="n">
        <v>46</v>
      </c>
      <c r="B50" s="7" t="s">
        <v>281</v>
      </c>
      <c r="C50" s="7" t="s">
        <v>281</v>
      </c>
      <c r="D50" s="7" t="s">
        <v>266</v>
      </c>
      <c r="E50" s="6" t="s">
        <v>165</v>
      </c>
      <c r="F50" s="6" t="n">
        <v>1</v>
      </c>
      <c r="G50" s="6" t="n">
        <v>1</v>
      </c>
      <c r="H50" s="7" t="s">
        <v>276</v>
      </c>
      <c r="I50" s="7" t="s">
        <v>276</v>
      </c>
      <c r="J50" s="7" t="s">
        <v>276</v>
      </c>
      <c r="K50" s="7" t="s">
        <v>276</v>
      </c>
      <c r="L50" s="7" t="s">
        <v>149</v>
      </c>
      <c r="M50" s="7" t="s">
        <v>254</v>
      </c>
      <c r="N50" s="7" t="s">
        <v>282</v>
      </c>
    </row>
    <row r="51" customFormat="false" ht="23.85" hidden="false" customHeight="false" outlineLevel="0" collapsed="false">
      <c r="A51" s="6" t="n">
        <v>47</v>
      </c>
      <c r="B51" s="7" t="s">
        <v>283</v>
      </c>
      <c r="C51" s="7" t="s">
        <v>284</v>
      </c>
      <c r="D51" s="7" t="s">
        <v>266</v>
      </c>
      <c r="E51" s="6" t="s">
        <v>165</v>
      </c>
      <c r="F51" s="6" t="n">
        <v>1</v>
      </c>
      <c r="G51" s="6" t="n">
        <v>0.5</v>
      </c>
      <c r="H51" s="7" t="s">
        <v>276</v>
      </c>
      <c r="I51" s="7" t="s">
        <v>276</v>
      </c>
      <c r="J51" s="7" t="s">
        <v>276</v>
      </c>
      <c r="K51" s="7" t="s">
        <v>276</v>
      </c>
      <c r="L51" s="7" t="s">
        <v>149</v>
      </c>
      <c r="M51" s="7" t="s">
        <v>254</v>
      </c>
      <c r="N51" s="7" t="s">
        <v>285</v>
      </c>
    </row>
    <row r="52" customFormat="false" ht="15" hidden="false" customHeight="false" outlineLevel="0" collapsed="false">
      <c r="A52" s="6" t="n">
        <v>48</v>
      </c>
      <c r="B52" s="7" t="s">
        <v>286</v>
      </c>
      <c r="C52" s="7" t="s">
        <v>286</v>
      </c>
      <c r="D52" s="7" t="s">
        <v>85</v>
      </c>
      <c r="E52" s="6" t="s">
        <v>165</v>
      </c>
      <c r="F52" s="6" t="n">
        <v>4</v>
      </c>
      <c r="G52" s="6" t="n">
        <v>1</v>
      </c>
      <c r="H52" s="7" t="s">
        <v>287</v>
      </c>
      <c r="I52" s="7" t="s">
        <v>149</v>
      </c>
      <c r="J52" s="7" t="s">
        <v>288</v>
      </c>
      <c r="K52" s="7" t="s">
        <v>149</v>
      </c>
      <c r="L52" s="7" t="s">
        <v>149</v>
      </c>
      <c r="M52" s="7" t="s">
        <v>166</v>
      </c>
      <c r="N52" s="7" t="s">
        <v>289</v>
      </c>
    </row>
    <row r="53" customFormat="false" ht="23.85" hidden="false" customHeight="false" outlineLevel="0" collapsed="false">
      <c r="A53" s="6" t="n">
        <v>49</v>
      </c>
      <c r="B53" s="7" t="s">
        <v>290</v>
      </c>
      <c r="C53" s="7" t="s">
        <v>290</v>
      </c>
      <c r="D53" s="7" t="s">
        <v>85</v>
      </c>
      <c r="E53" s="6" t="s">
        <v>165</v>
      </c>
      <c r="F53" s="6" t="n">
        <v>4</v>
      </c>
      <c r="G53" s="6" t="n">
        <v>1</v>
      </c>
      <c r="H53" s="7" t="s">
        <v>291</v>
      </c>
      <c r="I53" s="7" t="s">
        <v>149</v>
      </c>
      <c r="J53" s="7" t="s">
        <v>292</v>
      </c>
      <c r="K53" s="7" t="s">
        <v>149</v>
      </c>
      <c r="L53" s="7" t="s">
        <v>149</v>
      </c>
      <c r="M53" s="7" t="s">
        <v>166</v>
      </c>
      <c r="N53" s="7" t="s">
        <v>293</v>
      </c>
    </row>
    <row r="54" customFormat="false" ht="15" hidden="false" customHeight="false" outlineLevel="0" collapsed="false">
      <c r="A54" s="6" t="n">
        <v>50</v>
      </c>
      <c r="B54" s="7" t="s">
        <v>294</v>
      </c>
      <c r="C54" s="7" t="s">
        <v>294</v>
      </c>
      <c r="D54" s="7" t="s">
        <v>85</v>
      </c>
      <c r="E54" s="6" t="s">
        <v>165</v>
      </c>
      <c r="F54" s="6" t="n">
        <v>4</v>
      </c>
      <c r="G54" s="6" t="n">
        <v>1</v>
      </c>
      <c r="H54" s="7" t="s">
        <v>288</v>
      </c>
      <c r="I54" s="7" t="s">
        <v>149</v>
      </c>
      <c r="J54" s="7" t="s">
        <v>295</v>
      </c>
      <c r="K54" s="7" t="s">
        <v>149</v>
      </c>
      <c r="L54" s="7" t="s">
        <v>149</v>
      </c>
      <c r="M54" s="7" t="s">
        <v>166</v>
      </c>
      <c r="N54" s="7" t="s">
        <v>296</v>
      </c>
    </row>
    <row r="56" customFormat="false" ht="15" hidden="false" customHeight="false" outlineLevel="0" collapsed="false">
      <c r="A56" s="12" t="s">
        <v>297</v>
      </c>
    </row>
    <row r="57" customFormat="false" ht="15" hidden="false" customHeight="false" outlineLevel="0" collapsed="false">
      <c r="B57" s="7" t="s">
        <v>298</v>
      </c>
      <c r="C57" s="7" t="s">
        <v>299</v>
      </c>
    </row>
    <row r="58" customFormat="false" ht="15" hidden="false" customHeight="false" outlineLevel="0" collapsed="false">
      <c r="B58" s="7" t="s">
        <v>300</v>
      </c>
      <c r="C58" s="7" t="s">
        <v>299</v>
      </c>
    </row>
    <row r="59" customFormat="false" ht="15" hidden="false" customHeight="false" outlineLevel="0" collapsed="false">
      <c r="B59" s="7" t="s">
        <v>301</v>
      </c>
      <c r="C59" s="7" t="s">
        <v>299</v>
      </c>
    </row>
    <row r="60" customFormat="false" ht="15" hidden="false" customHeight="false" outlineLevel="0" collapsed="false">
      <c r="B60" s="7" t="s">
        <v>302</v>
      </c>
      <c r="C60" s="7" t="s">
        <v>299</v>
      </c>
    </row>
    <row r="61" customFormat="false" ht="15" hidden="false" customHeight="false" outlineLevel="0" collapsed="false">
      <c r="B61" s="7" t="s">
        <v>303</v>
      </c>
      <c r="C61" s="7" t="s">
        <v>299</v>
      </c>
    </row>
    <row r="62" customFormat="false" ht="15" hidden="false" customHeight="false" outlineLevel="0" collapsed="false">
      <c r="B62" s="7" t="s">
        <v>304</v>
      </c>
      <c r="C62" s="7" t="s">
        <v>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4" min="4" style="0" width="44"/>
    <col collapsed="false" customWidth="true" hidden="false" outlineLevel="0" max="5" min="5" style="0" width="42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305</v>
      </c>
    </row>
    <row r="2" customFormat="false" ht="15" hidden="false" customHeight="false" outlineLevel="0" collapsed="false">
      <c r="A2" s="2" t="s">
        <v>306</v>
      </c>
    </row>
    <row r="4" customFormat="false" ht="15" hidden="false" customHeight="false" outlineLevel="0" collapsed="false">
      <c r="A4" s="4" t="s">
        <v>307</v>
      </c>
      <c r="B4" s="4" t="s">
        <v>308</v>
      </c>
      <c r="C4" s="4" t="s">
        <v>309</v>
      </c>
      <c r="D4" s="4" t="s">
        <v>145</v>
      </c>
      <c r="E4" s="4" t="s">
        <v>310</v>
      </c>
      <c r="F4" s="4" t="s">
        <v>311</v>
      </c>
    </row>
    <row r="5" customFormat="false" ht="35.05" hidden="false" customHeight="false" outlineLevel="0" collapsed="false">
      <c r="A5" s="7" t="s">
        <v>148</v>
      </c>
      <c r="B5" s="7" t="s">
        <v>312</v>
      </c>
      <c r="C5" s="7" t="s">
        <v>313</v>
      </c>
      <c r="D5" s="7" t="s">
        <v>314</v>
      </c>
      <c r="E5" s="7" t="s">
        <v>315</v>
      </c>
      <c r="F5" s="7" t="s">
        <v>316</v>
      </c>
    </row>
    <row r="6" customFormat="false" ht="35.05" hidden="false" customHeight="false" outlineLevel="0" collapsed="false">
      <c r="A6" s="7" t="s">
        <v>149</v>
      </c>
      <c r="B6" s="7" t="s">
        <v>312</v>
      </c>
      <c r="C6" s="7" t="s">
        <v>313</v>
      </c>
      <c r="D6" s="7" t="s">
        <v>317</v>
      </c>
      <c r="E6" s="7" t="s">
        <v>318</v>
      </c>
      <c r="F6" s="7" t="s">
        <v>319</v>
      </c>
    </row>
    <row r="7" customFormat="false" ht="23.85" hidden="false" customHeight="false" outlineLevel="0" collapsed="false">
      <c r="A7" s="7" t="s">
        <v>172</v>
      </c>
      <c r="B7" s="7" t="s">
        <v>312</v>
      </c>
      <c r="C7" s="7" t="s">
        <v>320</v>
      </c>
      <c r="D7" s="7" t="s">
        <v>321</v>
      </c>
      <c r="E7" s="7" t="s">
        <v>322</v>
      </c>
      <c r="F7" s="7" t="s">
        <v>323</v>
      </c>
    </row>
    <row r="8" customFormat="false" ht="23.85" hidden="false" customHeight="false" outlineLevel="0" collapsed="false">
      <c r="A8" s="7" t="s">
        <v>174</v>
      </c>
      <c r="B8" s="7" t="s">
        <v>312</v>
      </c>
      <c r="C8" s="7" t="s">
        <v>320</v>
      </c>
      <c r="D8" s="7" t="s">
        <v>324</v>
      </c>
      <c r="E8" s="7" t="s">
        <v>325</v>
      </c>
      <c r="F8" s="7" t="s">
        <v>326</v>
      </c>
    </row>
    <row r="9" customFormat="false" ht="23.85" hidden="false" customHeight="false" outlineLevel="0" collapsed="false">
      <c r="A9" s="7" t="s">
        <v>185</v>
      </c>
      <c r="B9" s="7" t="s">
        <v>312</v>
      </c>
      <c r="C9" s="7" t="s">
        <v>313</v>
      </c>
      <c r="D9" s="7" t="s">
        <v>327</v>
      </c>
      <c r="E9" s="7" t="s">
        <v>328</v>
      </c>
      <c r="F9" s="7" t="s">
        <v>329</v>
      </c>
    </row>
    <row r="10" customFormat="false" ht="23.85" hidden="false" customHeight="false" outlineLevel="0" collapsed="false">
      <c r="A10" s="7" t="s">
        <v>193</v>
      </c>
      <c r="B10" s="7" t="s">
        <v>312</v>
      </c>
      <c r="C10" s="7" t="s">
        <v>320</v>
      </c>
      <c r="D10" s="7" t="s">
        <v>330</v>
      </c>
      <c r="E10" s="7" t="s">
        <v>331</v>
      </c>
      <c r="F10" s="7" t="s">
        <v>332</v>
      </c>
    </row>
    <row r="11" customFormat="false" ht="23.85" hidden="false" customHeight="false" outlineLevel="0" collapsed="false">
      <c r="A11" s="7" t="s">
        <v>194</v>
      </c>
      <c r="B11" s="7" t="s">
        <v>312</v>
      </c>
      <c r="C11" s="7" t="s">
        <v>320</v>
      </c>
      <c r="D11" s="7" t="s">
        <v>324</v>
      </c>
      <c r="E11" s="7" t="s">
        <v>333</v>
      </c>
      <c r="F11" s="7" t="s">
        <v>334</v>
      </c>
    </row>
    <row r="12" customFormat="false" ht="23.85" hidden="false" customHeight="false" outlineLevel="0" collapsed="false">
      <c r="A12" s="7" t="s">
        <v>173</v>
      </c>
      <c r="B12" s="7" t="s">
        <v>312</v>
      </c>
      <c r="C12" s="7" t="s">
        <v>335</v>
      </c>
      <c r="D12" s="7" t="s">
        <v>336</v>
      </c>
      <c r="E12" s="7" t="s">
        <v>148</v>
      </c>
      <c r="F12" s="7" t="s">
        <v>337</v>
      </c>
    </row>
    <row r="13" customFormat="false" ht="35.05" hidden="false" customHeight="false" outlineLevel="0" collapsed="false">
      <c r="A13" s="7" t="s">
        <v>186</v>
      </c>
      <c r="B13" s="7" t="s">
        <v>312</v>
      </c>
      <c r="C13" s="7" t="s">
        <v>335</v>
      </c>
      <c r="D13" s="7" t="s">
        <v>338</v>
      </c>
      <c r="E13" s="7" t="s">
        <v>149</v>
      </c>
      <c r="F13" s="7" t="s">
        <v>339</v>
      </c>
    </row>
    <row r="14" customFormat="false" ht="23.85" hidden="false" customHeight="false" outlineLevel="0" collapsed="false">
      <c r="A14" s="7" t="s">
        <v>201</v>
      </c>
      <c r="B14" s="7" t="s">
        <v>312</v>
      </c>
      <c r="C14" s="7" t="s">
        <v>335</v>
      </c>
      <c r="D14" s="7" t="s">
        <v>340</v>
      </c>
      <c r="E14" s="7" t="s">
        <v>341</v>
      </c>
      <c r="F14" s="7" t="s">
        <v>342</v>
      </c>
    </row>
    <row r="15" customFormat="false" ht="15" hidden="false" customHeight="false" outlineLevel="0" collapsed="false">
      <c r="A15" s="7" t="s">
        <v>211</v>
      </c>
      <c r="B15" s="7" t="s">
        <v>312</v>
      </c>
      <c r="C15" s="7" t="s">
        <v>320</v>
      </c>
      <c r="D15" s="7" t="s">
        <v>343</v>
      </c>
      <c r="E15" s="7" t="s">
        <v>212</v>
      </c>
      <c r="F15" s="7" t="s">
        <v>344</v>
      </c>
    </row>
    <row r="16" customFormat="false" ht="15" hidden="false" customHeight="false" outlineLevel="0" collapsed="false">
      <c r="A16" s="7" t="s">
        <v>212</v>
      </c>
      <c r="B16" s="7" t="s">
        <v>312</v>
      </c>
      <c r="C16" s="7" t="s">
        <v>320</v>
      </c>
      <c r="D16" s="7" t="s">
        <v>324</v>
      </c>
      <c r="E16" s="7" t="s">
        <v>211</v>
      </c>
      <c r="F16" s="7" t="s">
        <v>345</v>
      </c>
    </row>
    <row r="17" customFormat="false" ht="15" hidden="false" customHeight="false" outlineLevel="0" collapsed="false">
      <c r="A17" s="7" t="s">
        <v>223</v>
      </c>
      <c r="B17" s="7" t="s">
        <v>312</v>
      </c>
      <c r="C17" s="7" t="s">
        <v>320</v>
      </c>
      <c r="D17" s="7" t="s">
        <v>346</v>
      </c>
      <c r="E17" s="7" t="s">
        <v>224</v>
      </c>
      <c r="F17" s="7" t="s">
        <v>347</v>
      </c>
    </row>
    <row r="18" customFormat="false" ht="15" hidden="false" customHeight="false" outlineLevel="0" collapsed="false">
      <c r="A18" s="7" t="s">
        <v>224</v>
      </c>
      <c r="B18" s="7" t="s">
        <v>312</v>
      </c>
      <c r="C18" s="7" t="s">
        <v>320</v>
      </c>
      <c r="D18" s="7" t="s">
        <v>324</v>
      </c>
      <c r="E18" s="7" t="s">
        <v>223</v>
      </c>
      <c r="F18" s="7" t="s">
        <v>348</v>
      </c>
    </row>
    <row r="19" customFormat="false" ht="15" hidden="false" customHeight="false" outlineLevel="0" collapsed="false">
      <c r="A19" s="7" t="s">
        <v>229</v>
      </c>
      <c r="B19" s="7" t="s">
        <v>312</v>
      </c>
      <c r="C19" s="7" t="s">
        <v>320</v>
      </c>
      <c r="D19" s="7" t="s">
        <v>349</v>
      </c>
      <c r="E19" s="7" t="s">
        <v>230</v>
      </c>
      <c r="F19" s="7" t="s">
        <v>350</v>
      </c>
    </row>
    <row r="20" customFormat="false" ht="15" hidden="false" customHeight="false" outlineLevel="0" collapsed="false">
      <c r="A20" s="7" t="s">
        <v>230</v>
      </c>
      <c r="B20" s="7" t="s">
        <v>312</v>
      </c>
      <c r="C20" s="7" t="s">
        <v>320</v>
      </c>
      <c r="D20" s="7" t="s">
        <v>324</v>
      </c>
      <c r="E20" s="7" t="s">
        <v>229</v>
      </c>
      <c r="F20" s="7" t="s">
        <v>351</v>
      </c>
    </row>
    <row r="21" customFormat="false" ht="15" hidden="false" customHeight="false" outlineLevel="0" collapsed="false">
      <c r="A21" s="7" t="s">
        <v>235</v>
      </c>
      <c r="B21" s="7" t="s">
        <v>312</v>
      </c>
      <c r="C21" s="7" t="s">
        <v>320</v>
      </c>
      <c r="D21" s="7" t="s">
        <v>352</v>
      </c>
      <c r="E21" s="7" t="s">
        <v>236</v>
      </c>
      <c r="F21" s="7" t="s">
        <v>353</v>
      </c>
    </row>
    <row r="22" customFormat="false" ht="15" hidden="false" customHeight="false" outlineLevel="0" collapsed="false">
      <c r="A22" s="7" t="s">
        <v>236</v>
      </c>
      <c r="B22" s="7" t="s">
        <v>312</v>
      </c>
      <c r="C22" s="7" t="s">
        <v>320</v>
      </c>
      <c r="D22" s="7" t="s">
        <v>324</v>
      </c>
      <c r="E22" s="7" t="s">
        <v>235</v>
      </c>
      <c r="F22" s="7" t="s">
        <v>354</v>
      </c>
    </row>
    <row r="23" customFormat="false" ht="35.05" hidden="false" customHeight="false" outlineLevel="0" collapsed="false">
      <c r="A23" s="7" t="s">
        <v>213</v>
      </c>
      <c r="B23" s="7" t="s">
        <v>312</v>
      </c>
      <c r="C23" s="7" t="s">
        <v>335</v>
      </c>
      <c r="D23" s="7" t="s">
        <v>355</v>
      </c>
      <c r="E23" s="7" t="s">
        <v>356</v>
      </c>
      <c r="F23" s="7" t="s">
        <v>357</v>
      </c>
    </row>
    <row r="24" customFormat="false" ht="15" hidden="false" customHeight="false" outlineLevel="0" collapsed="false">
      <c r="A24" s="7" t="s">
        <v>231</v>
      </c>
      <c r="B24" s="7" t="s">
        <v>312</v>
      </c>
      <c r="C24" s="7" t="s">
        <v>335</v>
      </c>
      <c r="D24" s="7" t="s">
        <v>358</v>
      </c>
      <c r="E24" s="7" t="s">
        <v>149</v>
      </c>
      <c r="F24" s="7" t="s">
        <v>359</v>
      </c>
    </row>
    <row r="25" customFormat="false" ht="35.05" hidden="false" customHeight="false" outlineLevel="0" collapsed="false">
      <c r="A25" s="7" t="s">
        <v>240</v>
      </c>
      <c r="B25" s="7" t="s">
        <v>312</v>
      </c>
      <c r="C25" s="7" t="s">
        <v>320</v>
      </c>
      <c r="D25" s="7" t="s">
        <v>360</v>
      </c>
      <c r="E25" s="7" t="s">
        <v>242</v>
      </c>
      <c r="F25" s="7" t="s">
        <v>361</v>
      </c>
    </row>
    <row r="26" customFormat="false" ht="35.05" hidden="false" customHeight="false" outlineLevel="0" collapsed="false">
      <c r="A26" s="7" t="s">
        <v>242</v>
      </c>
      <c r="B26" s="7" t="s">
        <v>312</v>
      </c>
      <c r="C26" s="7" t="s">
        <v>320</v>
      </c>
      <c r="D26" s="7" t="s">
        <v>324</v>
      </c>
      <c r="E26" s="7" t="s">
        <v>240</v>
      </c>
      <c r="F26" s="7" t="s">
        <v>362</v>
      </c>
    </row>
    <row r="27" customFormat="false" ht="23.85" hidden="false" customHeight="false" outlineLevel="0" collapsed="false">
      <c r="A27" s="7" t="s">
        <v>243</v>
      </c>
      <c r="B27" s="7" t="s">
        <v>312</v>
      </c>
      <c r="C27" s="7" t="s">
        <v>335</v>
      </c>
      <c r="D27" s="7" t="s">
        <v>363</v>
      </c>
      <c r="E27" s="7" t="s">
        <v>364</v>
      </c>
      <c r="F27" s="7" t="s">
        <v>365</v>
      </c>
    </row>
    <row r="28" customFormat="false" ht="35.05" hidden="false" customHeight="false" outlineLevel="0" collapsed="false">
      <c r="A28" s="7" t="s">
        <v>241</v>
      </c>
      <c r="B28" s="7" t="s">
        <v>312</v>
      </c>
      <c r="C28" s="7" t="s">
        <v>313</v>
      </c>
      <c r="D28" s="7" t="s">
        <v>366</v>
      </c>
      <c r="E28" s="7" t="s">
        <v>241</v>
      </c>
      <c r="F28" s="7" t="s">
        <v>367</v>
      </c>
    </row>
    <row r="29" customFormat="false" ht="15" hidden="false" customHeight="false" outlineLevel="0" collapsed="false">
      <c r="A29" s="7" t="s">
        <v>267</v>
      </c>
      <c r="B29" s="7" t="s">
        <v>312</v>
      </c>
      <c r="C29" s="7" t="s">
        <v>320</v>
      </c>
      <c r="D29" s="7" t="s">
        <v>368</v>
      </c>
      <c r="E29" s="7" t="s">
        <v>268</v>
      </c>
      <c r="F29" s="7" t="s">
        <v>369</v>
      </c>
    </row>
    <row r="30" customFormat="false" ht="15" hidden="false" customHeight="false" outlineLevel="0" collapsed="false">
      <c r="A30" s="7" t="s">
        <v>268</v>
      </c>
      <c r="B30" s="7" t="s">
        <v>312</v>
      </c>
      <c r="C30" s="7" t="s">
        <v>320</v>
      </c>
      <c r="D30" s="7" t="s">
        <v>324</v>
      </c>
      <c r="E30" s="7" t="s">
        <v>267</v>
      </c>
      <c r="F30" s="7" t="s">
        <v>370</v>
      </c>
    </row>
    <row r="31" customFormat="false" ht="15" hidden="false" customHeight="false" outlineLevel="0" collapsed="false">
      <c r="A31" s="7" t="s">
        <v>275</v>
      </c>
      <c r="B31" s="7" t="s">
        <v>312</v>
      </c>
      <c r="C31" s="7" t="s">
        <v>320</v>
      </c>
      <c r="D31" s="7" t="s">
        <v>371</v>
      </c>
      <c r="E31" s="7" t="s">
        <v>277</v>
      </c>
      <c r="F31" s="7" t="s">
        <v>372</v>
      </c>
    </row>
    <row r="32" customFormat="false" ht="15" hidden="false" customHeight="false" outlineLevel="0" collapsed="false">
      <c r="A32" s="7" t="s">
        <v>277</v>
      </c>
      <c r="B32" s="7" t="s">
        <v>312</v>
      </c>
      <c r="C32" s="7" t="s">
        <v>320</v>
      </c>
      <c r="D32" s="7" t="s">
        <v>324</v>
      </c>
      <c r="E32" s="7" t="s">
        <v>275</v>
      </c>
      <c r="F32" s="7" t="s">
        <v>373</v>
      </c>
    </row>
    <row r="33" customFormat="false" ht="15" hidden="false" customHeight="false" outlineLevel="0" collapsed="false">
      <c r="A33" s="7" t="s">
        <v>276</v>
      </c>
      <c r="B33" s="7" t="s">
        <v>312</v>
      </c>
      <c r="C33" s="7" t="s">
        <v>313</v>
      </c>
      <c r="D33" s="7" t="s">
        <v>374</v>
      </c>
      <c r="E33" s="7" t="s">
        <v>276</v>
      </c>
      <c r="F33" s="7" t="s">
        <v>375</v>
      </c>
    </row>
    <row r="34" customFormat="false" ht="15" hidden="false" customHeight="false" outlineLevel="0" collapsed="false">
      <c r="A34" s="7" t="s">
        <v>287</v>
      </c>
      <c r="B34" s="7" t="s">
        <v>312</v>
      </c>
      <c r="C34" s="7" t="s">
        <v>335</v>
      </c>
      <c r="D34" s="7" t="s">
        <v>376</v>
      </c>
      <c r="E34" s="7" t="s">
        <v>292</v>
      </c>
      <c r="F34" s="7" t="s">
        <v>377</v>
      </c>
    </row>
    <row r="35" customFormat="false" ht="15" hidden="false" customHeight="false" outlineLevel="0" collapsed="false">
      <c r="A35" s="7" t="s">
        <v>292</v>
      </c>
      <c r="B35" s="7" t="s">
        <v>312</v>
      </c>
      <c r="C35" s="7" t="s">
        <v>335</v>
      </c>
      <c r="D35" s="7" t="s">
        <v>378</v>
      </c>
      <c r="E35" s="7" t="s">
        <v>379</v>
      </c>
      <c r="F35" s="7" t="s">
        <v>380</v>
      </c>
    </row>
    <row r="36" customFormat="false" ht="15" hidden="false" customHeight="false" outlineLevel="0" collapsed="false">
      <c r="A36" s="7" t="s">
        <v>291</v>
      </c>
      <c r="B36" s="7" t="s">
        <v>312</v>
      </c>
      <c r="C36" s="7" t="s">
        <v>335</v>
      </c>
      <c r="D36" s="7" t="s">
        <v>381</v>
      </c>
      <c r="E36" s="7" t="s">
        <v>382</v>
      </c>
      <c r="F36" s="7" t="s">
        <v>383</v>
      </c>
    </row>
    <row r="37" customFormat="false" ht="15" hidden="false" customHeight="false" outlineLevel="0" collapsed="false">
      <c r="A37" s="7" t="s">
        <v>295</v>
      </c>
      <c r="B37" s="7" t="s">
        <v>312</v>
      </c>
      <c r="C37" s="7" t="s">
        <v>335</v>
      </c>
      <c r="D37" s="7" t="s">
        <v>384</v>
      </c>
      <c r="E37" s="7" t="s">
        <v>291</v>
      </c>
      <c r="F37" s="7" t="s">
        <v>385</v>
      </c>
    </row>
    <row r="38" customFormat="false" ht="15" hidden="false" customHeight="false" outlineLevel="0" collapsed="false">
      <c r="A38" s="7" t="s">
        <v>288</v>
      </c>
      <c r="B38" s="7" t="s">
        <v>312</v>
      </c>
      <c r="C38" s="7" t="s">
        <v>335</v>
      </c>
      <c r="D38" s="7" t="s">
        <v>386</v>
      </c>
      <c r="E38" s="7" t="s">
        <v>201</v>
      </c>
      <c r="F38" s="7" t="s">
        <v>387</v>
      </c>
    </row>
    <row r="39" customFormat="false" ht="15" hidden="false" customHeight="false" outlineLevel="0" collapsed="false">
      <c r="A39" s="7" t="s">
        <v>161</v>
      </c>
      <c r="B39" s="7" t="s">
        <v>312</v>
      </c>
      <c r="C39" s="7" t="s">
        <v>335</v>
      </c>
      <c r="D39" s="7" t="s">
        <v>388</v>
      </c>
      <c r="E39" s="7" t="s">
        <v>389</v>
      </c>
      <c r="F39" s="7" t="s">
        <v>390</v>
      </c>
    </row>
    <row r="40" customFormat="false" ht="15" hidden="false" customHeight="false" outlineLevel="0" collapsed="false">
      <c r="A40" s="7" t="s">
        <v>169</v>
      </c>
      <c r="B40" s="7" t="s">
        <v>312</v>
      </c>
      <c r="C40" s="7" t="s">
        <v>335</v>
      </c>
      <c r="D40" s="7" t="s">
        <v>391</v>
      </c>
      <c r="E40" s="7" t="s">
        <v>201</v>
      </c>
      <c r="F40" s="7" t="s">
        <v>392</v>
      </c>
    </row>
    <row r="41" customFormat="false" ht="57.45" hidden="false" customHeight="false" outlineLevel="0" collapsed="false">
      <c r="A41" s="7" t="s">
        <v>150</v>
      </c>
      <c r="B41" s="7" t="s">
        <v>393</v>
      </c>
      <c r="C41" s="7" t="s">
        <v>394</v>
      </c>
      <c r="D41" s="7" t="s">
        <v>395</v>
      </c>
      <c r="E41" s="7" t="s">
        <v>150</v>
      </c>
      <c r="F41" s="7" t="s">
        <v>396</v>
      </c>
    </row>
    <row r="42" customFormat="false" ht="79.85" hidden="false" customHeight="false" outlineLevel="0" collapsed="false">
      <c r="A42" s="7" t="s">
        <v>149</v>
      </c>
      <c r="B42" s="7" t="s">
        <v>393</v>
      </c>
      <c r="C42" s="7" t="s">
        <v>394</v>
      </c>
      <c r="D42" s="7" t="s">
        <v>397</v>
      </c>
      <c r="E42" s="7" t="s">
        <v>398</v>
      </c>
      <c r="F42" s="7" t="s">
        <v>399</v>
      </c>
    </row>
    <row r="43" customFormat="false" ht="23.85" hidden="false" customHeight="false" outlineLevel="0" collapsed="false">
      <c r="A43" s="7" t="s">
        <v>166</v>
      </c>
      <c r="B43" s="7" t="s">
        <v>393</v>
      </c>
      <c r="C43" s="7" t="s">
        <v>394</v>
      </c>
      <c r="D43" s="7" t="s">
        <v>400</v>
      </c>
      <c r="E43" s="7" t="s">
        <v>401</v>
      </c>
      <c r="F43" s="7" t="s">
        <v>402</v>
      </c>
    </row>
    <row r="44" customFormat="false" ht="46.25" hidden="false" customHeight="false" outlineLevel="0" collapsed="false">
      <c r="A44" s="7" t="s">
        <v>45</v>
      </c>
      <c r="B44" s="7" t="s">
        <v>393</v>
      </c>
      <c r="C44" s="7" t="s">
        <v>403</v>
      </c>
      <c r="D44" s="7" t="s">
        <v>404</v>
      </c>
      <c r="E44" s="7" t="s">
        <v>405</v>
      </c>
      <c r="F44" s="7" t="s">
        <v>406</v>
      </c>
    </row>
    <row r="45" customFormat="false" ht="15" hidden="false" customHeight="false" outlineLevel="0" collapsed="false">
      <c r="A45" s="7" t="s">
        <v>50</v>
      </c>
      <c r="B45" s="7" t="s">
        <v>393</v>
      </c>
      <c r="C45" s="7" t="s">
        <v>403</v>
      </c>
      <c r="D45" s="7" t="s">
        <v>407</v>
      </c>
      <c r="E45" s="7" t="s">
        <v>408</v>
      </c>
      <c r="F45" s="7" t="s">
        <v>409</v>
      </c>
    </row>
    <row r="46" customFormat="false" ht="35.05" hidden="false" customHeight="false" outlineLevel="0" collapsed="false">
      <c r="A46" s="7" t="s">
        <v>214</v>
      </c>
      <c r="B46" s="7" t="s">
        <v>393</v>
      </c>
      <c r="C46" s="7" t="s">
        <v>403</v>
      </c>
      <c r="D46" s="7" t="s">
        <v>410</v>
      </c>
      <c r="E46" s="7" t="s">
        <v>411</v>
      </c>
      <c r="F46" s="7" t="s">
        <v>412</v>
      </c>
    </row>
    <row r="47" customFormat="false" ht="15" hidden="false" customHeight="false" outlineLevel="0" collapsed="false">
      <c r="A47" s="7" t="s">
        <v>232</v>
      </c>
      <c r="B47" s="7" t="s">
        <v>393</v>
      </c>
      <c r="C47" s="7" t="s">
        <v>403</v>
      </c>
      <c r="D47" s="7" t="s">
        <v>413</v>
      </c>
      <c r="E47" s="7" t="s">
        <v>414</v>
      </c>
      <c r="F47" s="7" t="s">
        <v>415</v>
      </c>
    </row>
    <row r="48" customFormat="false" ht="35.05" hidden="false" customHeight="false" outlineLevel="0" collapsed="false">
      <c r="A48" s="7" t="s">
        <v>244</v>
      </c>
      <c r="B48" s="7" t="s">
        <v>393</v>
      </c>
      <c r="C48" s="7" t="s">
        <v>403</v>
      </c>
      <c r="D48" s="7" t="s">
        <v>416</v>
      </c>
      <c r="E48" s="7" t="s">
        <v>417</v>
      </c>
      <c r="F48" s="7" t="s">
        <v>418</v>
      </c>
    </row>
    <row r="49" customFormat="false" ht="23.85" hidden="false" customHeight="false" outlineLevel="0" collapsed="false">
      <c r="A49" s="7" t="s">
        <v>251</v>
      </c>
      <c r="B49" s="7" t="s">
        <v>393</v>
      </c>
      <c r="C49" s="7" t="s">
        <v>403</v>
      </c>
      <c r="D49" s="7" t="s">
        <v>419</v>
      </c>
      <c r="E49" s="7" t="s">
        <v>420</v>
      </c>
      <c r="F49" s="7" t="s">
        <v>421</v>
      </c>
    </row>
    <row r="50" customFormat="false" ht="23.85" hidden="false" customHeight="false" outlineLevel="0" collapsed="false">
      <c r="A50" s="7" t="s">
        <v>254</v>
      </c>
      <c r="B50" s="7" t="s">
        <v>393</v>
      </c>
      <c r="C50" s="7" t="s">
        <v>394</v>
      </c>
      <c r="D50" s="7" t="s">
        <v>422</v>
      </c>
      <c r="E50" s="7" t="s">
        <v>254</v>
      </c>
      <c r="F50" s="7" t="s">
        <v>423</v>
      </c>
    </row>
    <row r="51" customFormat="false" ht="15" hidden="false" customHeight="false" outlineLevel="0" collapsed="false">
      <c r="A51" s="7" t="s">
        <v>269</v>
      </c>
      <c r="B51" s="7" t="s">
        <v>393</v>
      </c>
      <c r="C51" s="7" t="s">
        <v>403</v>
      </c>
      <c r="D51" s="7" t="s">
        <v>424</v>
      </c>
      <c r="E51" s="7" t="s">
        <v>425</v>
      </c>
      <c r="F51" s="7" t="s">
        <v>426</v>
      </c>
    </row>
    <row r="52" customFormat="false" ht="15" hidden="false" customHeight="false" outlineLevel="0" collapsed="false">
      <c r="A52" s="7" t="s">
        <v>272</v>
      </c>
      <c r="B52" s="7" t="s">
        <v>393</v>
      </c>
      <c r="C52" s="7" t="s">
        <v>403</v>
      </c>
      <c r="D52" s="7" t="s">
        <v>427</v>
      </c>
      <c r="E52" s="7" t="s">
        <v>428</v>
      </c>
      <c r="F52" s="7" t="s">
        <v>429</v>
      </c>
    </row>
    <row r="53" customFormat="false" ht="15" hidden="false" customHeight="false" outlineLevel="0" collapsed="false">
      <c r="A53" s="7" t="s">
        <v>162</v>
      </c>
      <c r="B53" s="7" t="s">
        <v>393</v>
      </c>
      <c r="C53" s="7" t="s">
        <v>403</v>
      </c>
      <c r="D53" s="7" t="s">
        <v>430</v>
      </c>
      <c r="E53" s="7" t="s">
        <v>431</v>
      </c>
      <c r="F53" s="7" t="s">
        <v>432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L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7" min="2" style="0" width="3.61"/>
    <col collapsed="false" customWidth="true" hidden="false" outlineLevel="0" max="38" min="38" style="0" width="6"/>
  </cols>
  <sheetData>
    <row r="1" customFormat="false" ht="17.35" hidden="false" customHeight="false" outlineLevel="0" collapsed="false">
      <c r="A1" s="1" t="s">
        <v>433</v>
      </c>
    </row>
    <row r="2" customFormat="false" ht="15" hidden="false" customHeight="false" outlineLevel="0" collapsed="false">
      <c r="A2" s="2" t="s">
        <v>434</v>
      </c>
    </row>
    <row r="4" customFormat="false" ht="150" hidden="false" customHeight="true" outlineLevel="0" collapsed="false">
      <c r="A4" s="4" t="s">
        <v>307</v>
      </c>
      <c r="B4" s="13" t="s">
        <v>148</v>
      </c>
      <c r="C4" s="13" t="s">
        <v>149</v>
      </c>
      <c r="D4" s="13" t="s">
        <v>172</v>
      </c>
      <c r="E4" s="13" t="s">
        <v>174</v>
      </c>
      <c r="F4" s="13" t="s">
        <v>185</v>
      </c>
      <c r="G4" s="13" t="s">
        <v>193</v>
      </c>
      <c r="H4" s="13" t="s">
        <v>194</v>
      </c>
      <c r="I4" s="13" t="s">
        <v>173</v>
      </c>
      <c r="J4" s="13" t="s">
        <v>186</v>
      </c>
      <c r="K4" s="13" t="s">
        <v>201</v>
      </c>
      <c r="L4" s="13" t="s">
        <v>211</v>
      </c>
      <c r="M4" s="13" t="s">
        <v>212</v>
      </c>
      <c r="N4" s="13" t="s">
        <v>223</v>
      </c>
      <c r="O4" s="13" t="s">
        <v>224</v>
      </c>
      <c r="P4" s="13" t="s">
        <v>229</v>
      </c>
      <c r="Q4" s="13" t="s">
        <v>230</v>
      </c>
      <c r="R4" s="13" t="s">
        <v>235</v>
      </c>
      <c r="S4" s="13" t="s">
        <v>236</v>
      </c>
      <c r="T4" s="13" t="s">
        <v>213</v>
      </c>
      <c r="U4" s="13" t="s">
        <v>231</v>
      </c>
      <c r="V4" s="13" t="s">
        <v>240</v>
      </c>
      <c r="W4" s="13" t="s">
        <v>242</v>
      </c>
      <c r="X4" s="13" t="s">
        <v>243</v>
      </c>
      <c r="Y4" s="13" t="s">
        <v>241</v>
      </c>
      <c r="Z4" s="13" t="s">
        <v>267</v>
      </c>
      <c r="AA4" s="13" t="s">
        <v>268</v>
      </c>
      <c r="AB4" s="13" t="s">
        <v>275</v>
      </c>
      <c r="AC4" s="13" t="s">
        <v>277</v>
      </c>
      <c r="AD4" s="13" t="s">
        <v>276</v>
      </c>
      <c r="AE4" s="13" t="s">
        <v>287</v>
      </c>
      <c r="AF4" s="13" t="s">
        <v>292</v>
      </c>
      <c r="AG4" s="13" t="s">
        <v>291</v>
      </c>
      <c r="AH4" s="13" t="s">
        <v>295</v>
      </c>
      <c r="AI4" s="13" t="s">
        <v>288</v>
      </c>
      <c r="AJ4" s="13" t="s">
        <v>161</v>
      </c>
      <c r="AK4" s="13" t="s">
        <v>169</v>
      </c>
      <c r="AL4" s="13" t="s">
        <v>435</v>
      </c>
    </row>
    <row r="5" customFormat="false" ht="15" hidden="false" customHeight="false" outlineLevel="0" collapsed="false">
      <c r="A5" s="14" t="s">
        <v>148</v>
      </c>
      <c r="B5" s="15" t="s">
        <v>436</v>
      </c>
      <c r="C5" s="16"/>
      <c r="D5" s="16"/>
      <c r="E5" s="16"/>
      <c r="F5" s="16"/>
      <c r="G5" s="16"/>
      <c r="H5" s="16"/>
      <c r="I5" s="15" t="s">
        <v>436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5" t="s">
        <v>436</v>
      </c>
      <c r="U5" s="16"/>
      <c r="V5" s="16"/>
      <c r="W5" s="16"/>
      <c r="X5" s="15" t="s">
        <v>436</v>
      </c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 t="n">
        <f aca="false">COUNTIF(B5:AK5,"✓")</f>
        <v>4</v>
      </c>
    </row>
    <row r="6" customFormat="false" ht="15" hidden="false" customHeight="false" outlineLevel="0" collapsed="false">
      <c r="A6" s="14" t="s">
        <v>149</v>
      </c>
      <c r="B6" s="16"/>
      <c r="C6" s="15" t="s">
        <v>436</v>
      </c>
      <c r="D6" s="16"/>
      <c r="E6" s="16"/>
      <c r="F6" s="16"/>
      <c r="G6" s="16"/>
      <c r="H6" s="16"/>
      <c r="I6" s="16"/>
      <c r="J6" s="15" t="s">
        <v>436</v>
      </c>
      <c r="K6" s="16"/>
      <c r="L6" s="16"/>
      <c r="M6" s="16"/>
      <c r="N6" s="16"/>
      <c r="O6" s="16"/>
      <c r="P6" s="16"/>
      <c r="Q6" s="16"/>
      <c r="R6" s="16"/>
      <c r="S6" s="16"/>
      <c r="T6" s="15" t="s">
        <v>436</v>
      </c>
      <c r="U6" s="15" t="s">
        <v>436</v>
      </c>
      <c r="V6" s="16"/>
      <c r="W6" s="16"/>
      <c r="X6" s="15" t="s">
        <v>436</v>
      </c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 t="n">
        <f aca="false">COUNTIF(B6:AK6,"✓")</f>
        <v>5</v>
      </c>
    </row>
    <row r="7" customFormat="false" ht="15" hidden="false" customHeight="false" outlineLevel="0" collapsed="false">
      <c r="A7" s="14" t="s">
        <v>172</v>
      </c>
      <c r="B7" s="16"/>
      <c r="C7" s="16"/>
      <c r="D7" s="16"/>
      <c r="E7" s="15" t="s">
        <v>436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5" t="s">
        <v>436</v>
      </c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 t="n">
        <f aca="false">COUNTIF(B7:AK7,"✓")</f>
        <v>2</v>
      </c>
    </row>
    <row r="8" customFormat="false" ht="15" hidden="false" customHeight="false" outlineLevel="0" collapsed="false">
      <c r="A8" s="14" t="s">
        <v>174</v>
      </c>
      <c r="B8" s="16"/>
      <c r="C8" s="16"/>
      <c r="D8" s="15" t="s">
        <v>436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5" t="s">
        <v>436</v>
      </c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 t="n">
        <f aca="false">COUNTIF(B8:AK8,"✓")</f>
        <v>2</v>
      </c>
    </row>
    <row r="9" customFormat="false" ht="15" hidden="false" customHeight="false" outlineLevel="0" collapsed="false">
      <c r="A9" s="14" t="s">
        <v>185</v>
      </c>
      <c r="B9" s="16"/>
      <c r="C9" s="16"/>
      <c r="D9" s="16"/>
      <c r="E9" s="16"/>
      <c r="F9" s="15" t="s">
        <v>436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5" t="s">
        <v>436</v>
      </c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 t="n">
        <f aca="false">COUNTIF(B9:AK9,"✓")</f>
        <v>2</v>
      </c>
    </row>
    <row r="10" customFormat="false" ht="15" hidden="false" customHeight="false" outlineLevel="0" collapsed="false">
      <c r="A10" s="14" t="s">
        <v>193</v>
      </c>
      <c r="B10" s="16"/>
      <c r="C10" s="16"/>
      <c r="D10" s="16"/>
      <c r="E10" s="16"/>
      <c r="F10" s="16"/>
      <c r="G10" s="16"/>
      <c r="H10" s="15" t="s">
        <v>436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5" t="s">
        <v>436</v>
      </c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 t="n">
        <f aca="false">COUNTIF(B10:AK10,"✓")</f>
        <v>2</v>
      </c>
    </row>
    <row r="11" customFormat="false" ht="15" hidden="false" customHeight="false" outlineLevel="0" collapsed="false">
      <c r="A11" s="14" t="s">
        <v>194</v>
      </c>
      <c r="B11" s="16"/>
      <c r="C11" s="16"/>
      <c r="D11" s="16"/>
      <c r="E11" s="16"/>
      <c r="F11" s="16"/>
      <c r="G11" s="15" t="s">
        <v>436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5" t="s">
        <v>436</v>
      </c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 t="n">
        <f aca="false">COUNTIF(B11:AK11,"✓")</f>
        <v>2</v>
      </c>
    </row>
    <row r="12" customFormat="false" ht="15" hidden="false" customHeight="false" outlineLevel="0" collapsed="false">
      <c r="A12" s="14" t="s">
        <v>173</v>
      </c>
      <c r="B12" s="15" t="s">
        <v>436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 t="n">
        <f aca="false">COUNTIF(B12:AK12,"✓")</f>
        <v>1</v>
      </c>
    </row>
    <row r="13" customFormat="false" ht="15" hidden="false" customHeight="false" outlineLevel="0" collapsed="false">
      <c r="A13" s="14" t="s">
        <v>186</v>
      </c>
      <c r="B13" s="16"/>
      <c r="C13" s="15" t="s">
        <v>436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 t="n">
        <f aca="false">COUNTIF(B13:AK13,"✓")</f>
        <v>1</v>
      </c>
    </row>
    <row r="14" customFormat="false" ht="15" hidden="false" customHeight="false" outlineLevel="0" collapsed="false">
      <c r="A14" s="14" t="s">
        <v>201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5" t="s">
        <v>436</v>
      </c>
      <c r="AJ14" s="16"/>
      <c r="AK14" s="15" t="s">
        <v>436</v>
      </c>
      <c r="AL14" s="16" t="n">
        <f aca="false">COUNTIF(B14:AK14,"✓")</f>
        <v>2</v>
      </c>
    </row>
    <row r="15" customFormat="false" ht="15" hidden="false" customHeight="false" outlineLevel="0" collapsed="false">
      <c r="A15" s="14" t="s">
        <v>211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5" t="s">
        <v>436</v>
      </c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 t="n">
        <f aca="false">COUNTIF(B15:AK15,"✓")</f>
        <v>1</v>
      </c>
    </row>
    <row r="16" customFormat="false" ht="15" hidden="false" customHeight="false" outlineLevel="0" collapsed="false">
      <c r="A16" s="14" t="s">
        <v>212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5" t="s">
        <v>436</v>
      </c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 t="n">
        <f aca="false">COUNTIF(B16:AK16,"✓")</f>
        <v>1</v>
      </c>
    </row>
    <row r="17" customFormat="false" ht="15" hidden="false" customHeight="false" outlineLevel="0" collapsed="false">
      <c r="A17" s="14" t="s">
        <v>223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5" t="s">
        <v>436</v>
      </c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 t="n">
        <f aca="false">COUNTIF(B17:AK17,"✓")</f>
        <v>1</v>
      </c>
    </row>
    <row r="18" customFormat="false" ht="15" hidden="false" customHeight="false" outlineLevel="0" collapsed="false">
      <c r="A18" s="14" t="s">
        <v>224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5" t="s">
        <v>436</v>
      </c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 t="n">
        <f aca="false">COUNTIF(B18:AK18,"✓")</f>
        <v>1</v>
      </c>
    </row>
    <row r="19" customFormat="false" ht="15" hidden="false" customHeight="false" outlineLevel="0" collapsed="false">
      <c r="A19" s="14" t="s">
        <v>229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5" t="s">
        <v>436</v>
      </c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 t="n">
        <f aca="false">COUNTIF(B19:AK19,"✓")</f>
        <v>1</v>
      </c>
    </row>
    <row r="20" customFormat="false" ht="15" hidden="false" customHeight="false" outlineLevel="0" collapsed="false">
      <c r="A20" s="14" t="s">
        <v>230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 t="s">
        <v>436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 t="n">
        <f aca="false">COUNTIF(B20:AK20,"✓")</f>
        <v>1</v>
      </c>
    </row>
    <row r="21" customFormat="false" ht="15" hidden="false" customHeight="false" outlineLevel="0" collapsed="false">
      <c r="A21" s="14" t="s">
        <v>235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5" t="s">
        <v>436</v>
      </c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 t="n">
        <f aca="false">COUNTIF(B21:AK21,"✓")</f>
        <v>1</v>
      </c>
    </row>
    <row r="22" customFormat="false" ht="15" hidden="false" customHeight="false" outlineLevel="0" collapsed="false">
      <c r="A22" s="14" t="s">
        <v>236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5" t="s">
        <v>436</v>
      </c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 t="n">
        <f aca="false">COUNTIF(B22:AK22,"✓")</f>
        <v>1</v>
      </c>
    </row>
    <row r="23" customFormat="false" ht="15" hidden="false" customHeight="false" outlineLevel="0" collapsed="false">
      <c r="A23" s="14" t="s">
        <v>213</v>
      </c>
      <c r="B23" s="15" t="s">
        <v>436</v>
      </c>
      <c r="C23" s="15" t="s">
        <v>436</v>
      </c>
      <c r="D23" s="15" t="s">
        <v>436</v>
      </c>
      <c r="E23" s="15" t="s">
        <v>436</v>
      </c>
      <c r="F23" s="15" t="s">
        <v>436</v>
      </c>
      <c r="G23" s="15" t="s">
        <v>436</v>
      </c>
      <c r="H23" s="15" t="s">
        <v>436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5" t="s">
        <v>436</v>
      </c>
      <c r="AK23" s="16"/>
      <c r="AL23" s="16" t="n">
        <f aca="false">COUNTIF(B23:AK23,"✓")</f>
        <v>8</v>
      </c>
    </row>
    <row r="24" customFormat="false" ht="15" hidden="false" customHeight="false" outlineLevel="0" collapsed="false">
      <c r="A24" s="14" t="s">
        <v>231</v>
      </c>
      <c r="B24" s="16"/>
      <c r="C24" s="15" t="s">
        <v>436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 t="n">
        <f aca="false">COUNTIF(B24:AK24,"✓")</f>
        <v>1</v>
      </c>
    </row>
    <row r="25" customFormat="false" ht="15" hidden="false" customHeight="false" outlineLevel="0" collapsed="false">
      <c r="A25" s="14" t="s">
        <v>240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5" t="s">
        <v>436</v>
      </c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 t="n">
        <f aca="false">COUNTIF(B25:AK25,"✓")</f>
        <v>1</v>
      </c>
    </row>
    <row r="26" customFormat="false" ht="15" hidden="false" customHeight="false" outlineLevel="0" collapsed="false">
      <c r="A26" s="14" t="s">
        <v>242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5" t="s">
        <v>436</v>
      </c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 t="n">
        <f aca="false">COUNTIF(B26:AK26,"✓")</f>
        <v>1</v>
      </c>
    </row>
    <row r="27" customFormat="false" ht="15" hidden="false" customHeight="false" outlineLevel="0" collapsed="false">
      <c r="A27" s="14" t="s">
        <v>243</v>
      </c>
      <c r="B27" s="15" t="s">
        <v>436</v>
      </c>
      <c r="C27" s="15" t="s">
        <v>436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5" t="s">
        <v>436</v>
      </c>
      <c r="AK27" s="16"/>
      <c r="AL27" s="16" t="n">
        <f aca="false">COUNTIF(B27:AK27,"✓")</f>
        <v>3</v>
      </c>
    </row>
    <row r="28" customFormat="false" ht="15" hidden="false" customHeight="false" outlineLevel="0" collapsed="false">
      <c r="A28" s="14" t="s">
        <v>241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5" t="s">
        <v>436</v>
      </c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 t="n">
        <f aca="false">COUNTIF(B28:AK28,"✓")</f>
        <v>1</v>
      </c>
    </row>
    <row r="29" customFormat="false" ht="15" hidden="false" customHeight="false" outlineLevel="0" collapsed="false">
      <c r="A29" s="14" t="s">
        <v>267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5" t="s">
        <v>436</v>
      </c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 t="n">
        <f aca="false">COUNTIF(B29:AK29,"✓")</f>
        <v>1</v>
      </c>
    </row>
    <row r="30" customFormat="false" ht="15" hidden="false" customHeight="false" outlineLevel="0" collapsed="false">
      <c r="A30" s="14" t="s">
        <v>268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5" t="s">
        <v>436</v>
      </c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 t="n">
        <f aca="false">COUNTIF(B30:AK30,"✓")</f>
        <v>1</v>
      </c>
    </row>
    <row r="31" customFormat="false" ht="15" hidden="false" customHeight="false" outlineLevel="0" collapsed="false">
      <c r="A31" s="14" t="s">
        <v>275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5" t="s">
        <v>436</v>
      </c>
      <c r="AD31" s="16"/>
      <c r="AE31" s="16"/>
      <c r="AF31" s="16"/>
      <c r="AG31" s="16"/>
      <c r="AH31" s="16"/>
      <c r="AI31" s="16"/>
      <c r="AJ31" s="16"/>
      <c r="AK31" s="16"/>
      <c r="AL31" s="16" t="n">
        <f aca="false">COUNTIF(B31:AK31,"✓")</f>
        <v>1</v>
      </c>
    </row>
    <row r="32" customFormat="false" ht="15" hidden="false" customHeight="false" outlineLevel="0" collapsed="false">
      <c r="A32" s="14" t="s">
        <v>277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5" t="s">
        <v>436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 t="n">
        <f aca="false">COUNTIF(B32:AK32,"✓")</f>
        <v>1</v>
      </c>
    </row>
    <row r="33" customFormat="false" ht="15" hidden="false" customHeight="false" outlineLevel="0" collapsed="false">
      <c r="A33" s="14" t="s">
        <v>276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5" t="s">
        <v>436</v>
      </c>
      <c r="AE33" s="16"/>
      <c r="AF33" s="16"/>
      <c r="AG33" s="16"/>
      <c r="AH33" s="16"/>
      <c r="AI33" s="16"/>
      <c r="AJ33" s="16"/>
      <c r="AK33" s="16"/>
      <c r="AL33" s="16" t="n">
        <f aca="false">COUNTIF(B33:AK33,"✓")</f>
        <v>1</v>
      </c>
    </row>
    <row r="34" customFormat="false" ht="15" hidden="false" customHeight="false" outlineLevel="0" collapsed="false">
      <c r="A34" s="14" t="s">
        <v>287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5" t="s">
        <v>436</v>
      </c>
      <c r="AG34" s="16"/>
      <c r="AH34" s="16"/>
      <c r="AI34" s="16"/>
      <c r="AJ34" s="16"/>
      <c r="AK34" s="16"/>
      <c r="AL34" s="16" t="n">
        <f aca="false">COUNTIF(B34:AK34,"✓")</f>
        <v>1</v>
      </c>
    </row>
    <row r="35" customFormat="false" ht="15" hidden="false" customHeight="false" outlineLevel="0" collapsed="false">
      <c r="A35" s="14" t="s">
        <v>292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5" t="s">
        <v>436</v>
      </c>
      <c r="AF35" s="16"/>
      <c r="AG35" s="15" t="s">
        <v>436</v>
      </c>
      <c r="AH35" s="16"/>
      <c r="AI35" s="16"/>
      <c r="AJ35" s="16"/>
      <c r="AK35" s="16"/>
      <c r="AL35" s="16" t="n">
        <f aca="false">COUNTIF(B35:AK35,"✓")</f>
        <v>2</v>
      </c>
    </row>
    <row r="36" customFormat="false" ht="15" hidden="false" customHeight="false" outlineLevel="0" collapsed="false">
      <c r="A36" s="14" t="s">
        <v>291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5" t="s">
        <v>436</v>
      </c>
      <c r="AG36" s="16"/>
      <c r="AH36" s="15" t="s">
        <v>436</v>
      </c>
      <c r="AI36" s="16"/>
      <c r="AJ36" s="16"/>
      <c r="AK36" s="16"/>
      <c r="AL36" s="16" t="n">
        <f aca="false">COUNTIF(B36:AK36,"✓")</f>
        <v>2</v>
      </c>
    </row>
    <row r="37" customFormat="false" ht="15" hidden="false" customHeight="false" outlineLevel="0" collapsed="false">
      <c r="A37" s="14" t="s">
        <v>295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5" t="s">
        <v>436</v>
      </c>
      <c r="AH37" s="16"/>
      <c r="AI37" s="16"/>
      <c r="AJ37" s="16"/>
      <c r="AK37" s="16"/>
      <c r="AL37" s="16" t="n">
        <f aca="false">COUNTIF(B37:AK37,"✓")</f>
        <v>1</v>
      </c>
    </row>
    <row r="38" customFormat="false" ht="15" hidden="false" customHeight="false" outlineLevel="0" collapsed="false">
      <c r="A38" s="14" t="s">
        <v>288</v>
      </c>
      <c r="B38" s="16"/>
      <c r="C38" s="16"/>
      <c r="D38" s="16"/>
      <c r="E38" s="16"/>
      <c r="F38" s="16"/>
      <c r="G38" s="16"/>
      <c r="H38" s="16"/>
      <c r="I38" s="16"/>
      <c r="J38" s="16"/>
      <c r="K38" s="15" t="s">
        <v>436</v>
      </c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 t="n">
        <f aca="false">COUNTIF(B38:AK38,"✓")</f>
        <v>1</v>
      </c>
    </row>
    <row r="39" customFormat="false" ht="15" hidden="false" customHeight="false" outlineLevel="0" collapsed="false">
      <c r="A39" s="14" t="s">
        <v>161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5" t="s">
        <v>436</v>
      </c>
      <c r="U39" s="16"/>
      <c r="V39" s="16"/>
      <c r="W39" s="16"/>
      <c r="X39" s="15" t="s">
        <v>436</v>
      </c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 t="n">
        <f aca="false">COUNTIF(B39:AK39,"✓")</f>
        <v>2</v>
      </c>
    </row>
    <row r="40" customFormat="false" ht="15" hidden="false" customHeight="false" outlineLevel="0" collapsed="false">
      <c r="A40" s="14" t="s">
        <v>169</v>
      </c>
      <c r="B40" s="16"/>
      <c r="C40" s="16"/>
      <c r="D40" s="16"/>
      <c r="E40" s="16"/>
      <c r="F40" s="16"/>
      <c r="G40" s="16"/>
      <c r="H40" s="16"/>
      <c r="I40" s="16"/>
      <c r="J40" s="16"/>
      <c r="K40" s="15" t="s">
        <v>436</v>
      </c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 t="n">
        <f aca="false">COUNTIF(B40:AK40,"✓")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3" min="2" style="0" width="28"/>
    <col collapsed="false" customWidth="true" hidden="false" outlineLevel="0" max="4" min="4" style="0" width="10"/>
    <col collapsed="false" customWidth="true" hidden="false" outlineLevel="0" max="6" min="5" style="0" width="60"/>
  </cols>
  <sheetData>
    <row r="1" customFormat="false" ht="17.35" hidden="false" customHeight="false" outlineLevel="0" collapsed="false">
      <c r="A1" s="1" t="s">
        <v>437</v>
      </c>
    </row>
    <row r="2" customFormat="false" ht="15" hidden="false" customHeight="false" outlineLevel="0" collapsed="false">
      <c r="A2" s="2" t="s">
        <v>438</v>
      </c>
    </row>
    <row r="4" customFormat="false" ht="23.85" hidden="false" customHeight="false" outlineLevel="0" collapsed="false">
      <c r="A4" s="4" t="s">
        <v>133</v>
      </c>
      <c r="B4" s="4" t="s">
        <v>144</v>
      </c>
      <c r="C4" s="4" t="s">
        <v>143</v>
      </c>
      <c r="D4" s="4" t="s">
        <v>439</v>
      </c>
      <c r="E4" s="4" t="s">
        <v>440</v>
      </c>
      <c r="F4" s="4" t="s">
        <v>441</v>
      </c>
    </row>
    <row r="5" customFormat="false" ht="15" hidden="false" customHeight="false" outlineLevel="0" collapsed="false">
      <c r="A5" s="7" t="s">
        <v>146</v>
      </c>
      <c r="B5" s="7" t="s">
        <v>150</v>
      </c>
      <c r="C5" s="7" t="s">
        <v>149</v>
      </c>
      <c r="D5" s="6" t="s">
        <v>442</v>
      </c>
      <c r="E5" s="7" t="s">
        <v>443</v>
      </c>
      <c r="F5" s="7" t="s">
        <v>164</v>
      </c>
    </row>
    <row r="6" customFormat="false" ht="15" hidden="false" customHeight="false" outlineLevel="0" collapsed="false">
      <c r="A6" s="7" t="s">
        <v>152</v>
      </c>
      <c r="B6" s="7" t="s">
        <v>150</v>
      </c>
      <c r="C6" s="7" t="s">
        <v>149</v>
      </c>
      <c r="D6" s="6" t="s">
        <v>442</v>
      </c>
      <c r="E6" s="7" t="s">
        <v>443</v>
      </c>
      <c r="F6" s="7" t="s">
        <v>164</v>
      </c>
    </row>
    <row r="7" customFormat="false" ht="15" hidden="false" customHeight="false" outlineLevel="0" collapsed="false">
      <c r="A7" s="7" t="s">
        <v>154</v>
      </c>
      <c r="B7" s="7" t="s">
        <v>150</v>
      </c>
      <c r="C7" s="7" t="s">
        <v>149</v>
      </c>
      <c r="D7" s="6" t="s">
        <v>442</v>
      </c>
      <c r="E7" s="7" t="s">
        <v>443</v>
      </c>
      <c r="F7" s="7" t="s">
        <v>164</v>
      </c>
    </row>
    <row r="8" customFormat="false" ht="15" hidden="false" customHeight="false" outlineLevel="0" collapsed="false">
      <c r="A8" s="7" t="s">
        <v>156</v>
      </c>
      <c r="B8" s="7" t="s">
        <v>150</v>
      </c>
      <c r="C8" s="7" t="s">
        <v>149</v>
      </c>
      <c r="D8" s="6" t="s">
        <v>442</v>
      </c>
      <c r="E8" s="7" t="s">
        <v>443</v>
      </c>
      <c r="F8" s="7" t="s">
        <v>164</v>
      </c>
    </row>
    <row r="9" customFormat="false" ht="15" hidden="false" customHeight="false" outlineLevel="0" collapsed="false">
      <c r="A9" s="7" t="s">
        <v>158</v>
      </c>
      <c r="B9" s="7" t="s">
        <v>150</v>
      </c>
      <c r="C9" s="7" t="s">
        <v>149</v>
      </c>
      <c r="D9" s="6" t="s">
        <v>442</v>
      </c>
      <c r="E9" s="7" t="s">
        <v>443</v>
      </c>
      <c r="F9" s="7" t="s">
        <v>164</v>
      </c>
    </row>
    <row r="10" customFormat="false" ht="15" hidden="false" customHeight="false" outlineLevel="0" collapsed="false">
      <c r="A10" s="7" t="s">
        <v>160</v>
      </c>
      <c r="B10" s="7" t="s">
        <v>150</v>
      </c>
      <c r="C10" s="7" t="s">
        <v>162</v>
      </c>
      <c r="D10" s="6" t="s">
        <v>444</v>
      </c>
      <c r="E10" s="7" t="s">
        <v>443</v>
      </c>
      <c r="F10" s="7" t="s">
        <v>168</v>
      </c>
    </row>
    <row r="11" customFormat="false" ht="79.85" hidden="false" customHeight="false" outlineLevel="0" collapsed="false">
      <c r="A11" s="7" t="s">
        <v>164</v>
      </c>
      <c r="B11" s="7" t="s">
        <v>149</v>
      </c>
      <c r="C11" s="7" t="s">
        <v>166</v>
      </c>
      <c r="D11" s="6" t="s">
        <v>442</v>
      </c>
      <c r="E11" s="7" t="s">
        <v>445</v>
      </c>
      <c r="F11" s="7" t="s">
        <v>446</v>
      </c>
    </row>
    <row r="12" customFormat="false" ht="15" hidden="false" customHeight="false" outlineLevel="0" collapsed="false">
      <c r="A12" s="7" t="s">
        <v>168</v>
      </c>
      <c r="B12" s="7" t="s">
        <v>162</v>
      </c>
      <c r="C12" s="7" t="s">
        <v>149</v>
      </c>
      <c r="D12" s="6" t="s">
        <v>444</v>
      </c>
      <c r="E12" s="7" t="s">
        <v>160</v>
      </c>
      <c r="F12" s="7" t="s">
        <v>164</v>
      </c>
    </row>
    <row r="13" customFormat="false" ht="23.85" hidden="false" customHeight="false" outlineLevel="0" collapsed="false">
      <c r="A13" s="7" t="s">
        <v>171</v>
      </c>
      <c r="B13" s="7" t="s">
        <v>150</v>
      </c>
      <c r="C13" s="7" t="s">
        <v>45</v>
      </c>
      <c r="D13" s="6" t="s">
        <v>444</v>
      </c>
      <c r="E13" s="7" t="s">
        <v>443</v>
      </c>
      <c r="F13" s="7" t="s">
        <v>447</v>
      </c>
    </row>
    <row r="14" customFormat="false" ht="23.85" hidden="false" customHeight="false" outlineLevel="0" collapsed="false">
      <c r="A14" s="7" t="s">
        <v>176</v>
      </c>
      <c r="B14" s="7" t="s">
        <v>150</v>
      </c>
      <c r="C14" s="7" t="s">
        <v>45</v>
      </c>
      <c r="D14" s="6" t="s">
        <v>444</v>
      </c>
      <c r="E14" s="7" t="s">
        <v>443</v>
      </c>
      <c r="F14" s="7" t="s">
        <v>447</v>
      </c>
    </row>
    <row r="15" customFormat="false" ht="23.85" hidden="false" customHeight="false" outlineLevel="0" collapsed="false">
      <c r="A15" s="7" t="s">
        <v>178</v>
      </c>
      <c r="B15" s="7" t="s">
        <v>150</v>
      </c>
      <c r="C15" s="7" t="s">
        <v>45</v>
      </c>
      <c r="D15" s="6" t="s">
        <v>444</v>
      </c>
      <c r="E15" s="7" t="s">
        <v>443</v>
      </c>
      <c r="F15" s="7" t="s">
        <v>447</v>
      </c>
    </row>
    <row r="16" customFormat="false" ht="23.85" hidden="false" customHeight="false" outlineLevel="0" collapsed="false">
      <c r="A16" s="7" t="s">
        <v>180</v>
      </c>
      <c r="B16" s="7" t="s">
        <v>150</v>
      </c>
      <c r="C16" s="7" t="s">
        <v>45</v>
      </c>
      <c r="D16" s="6" t="s">
        <v>444</v>
      </c>
      <c r="E16" s="7" t="s">
        <v>443</v>
      </c>
      <c r="F16" s="7" t="s">
        <v>447</v>
      </c>
    </row>
    <row r="17" customFormat="false" ht="23.85" hidden="false" customHeight="false" outlineLevel="0" collapsed="false">
      <c r="A17" s="7" t="s">
        <v>182</v>
      </c>
      <c r="B17" s="7" t="s">
        <v>150</v>
      </c>
      <c r="C17" s="7" t="s">
        <v>45</v>
      </c>
      <c r="D17" s="6" t="s">
        <v>444</v>
      </c>
      <c r="E17" s="7" t="s">
        <v>443</v>
      </c>
      <c r="F17" s="7" t="s">
        <v>447</v>
      </c>
    </row>
    <row r="18" customFormat="false" ht="23.85" hidden="false" customHeight="false" outlineLevel="0" collapsed="false">
      <c r="A18" s="7" t="s">
        <v>184</v>
      </c>
      <c r="B18" s="7" t="s">
        <v>45</v>
      </c>
      <c r="C18" s="7" t="s">
        <v>45</v>
      </c>
      <c r="D18" s="6" t="s">
        <v>444</v>
      </c>
      <c r="E18" s="7" t="s">
        <v>448</v>
      </c>
      <c r="F18" s="7" t="s">
        <v>447</v>
      </c>
    </row>
    <row r="19" customFormat="false" ht="23.85" hidden="false" customHeight="false" outlineLevel="0" collapsed="false">
      <c r="A19" s="7" t="s">
        <v>188</v>
      </c>
      <c r="B19" s="7" t="s">
        <v>45</v>
      </c>
      <c r="C19" s="7" t="s">
        <v>45</v>
      </c>
      <c r="D19" s="6" t="s">
        <v>444</v>
      </c>
      <c r="E19" s="7" t="s">
        <v>448</v>
      </c>
      <c r="F19" s="7" t="s">
        <v>447</v>
      </c>
    </row>
    <row r="20" customFormat="false" ht="23.85" hidden="false" customHeight="false" outlineLevel="0" collapsed="false">
      <c r="A20" s="7" t="s">
        <v>190</v>
      </c>
      <c r="B20" s="7" t="s">
        <v>45</v>
      </c>
      <c r="C20" s="7" t="s">
        <v>45</v>
      </c>
      <c r="D20" s="6" t="s">
        <v>444</v>
      </c>
      <c r="E20" s="7" t="s">
        <v>448</v>
      </c>
      <c r="F20" s="7" t="s">
        <v>447</v>
      </c>
    </row>
    <row r="21" customFormat="false" ht="23.85" hidden="false" customHeight="false" outlineLevel="0" collapsed="false">
      <c r="A21" s="7" t="s">
        <v>192</v>
      </c>
      <c r="B21" s="7" t="s">
        <v>45</v>
      </c>
      <c r="C21" s="7" t="s">
        <v>149</v>
      </c>
      <c r="D21" s="6" t="s">
        <v>444</v>
      </c>
      <c r="E21" s="7" t="s">
        <v>448</v>
      </c>
      <c r="F21" s="7" t="s">
        <v>164</v>
      </c>
    </row>
    <row r="22" customFormat="false" ht="23.85" hidden="false" customHeight="false" outlineLevel="0" collapsed="false">
      <c r="A22" s="7" t="s">
        <v>196</v>
      </c>
      <c r="B22" s="7" t="s">
        <v>45</v>
      </c>
      <c r="C22" s="7" t="s">
        <v>149</v>
      </c>
      <c r="D22" s="6" t="s">
        <v>444</v>
      </c>
      <c r="E22" s="7" t="s">
        <v>448</v>
      </c>
      <c r="F22" s="7" t="s">
        <v>164</v>
      </c>
    </row>
    <row r="23" customFormat="false" ht="23.85" hidden="false" customHeight="false" outlineLevel="0" collapsed="false">
      <c r="A23" s="7" t="s">
        <v>198</v>
      </c>
      <c r="B23" s="7" t="s">
        <v>45</v>
      </c>
      <c r="C23" s="7" t="s">
        <v>149</v>
      </c>
      <c r="D23" s="6" t="s">
        <v>444</v>
      </c>
      <c r="E23" s="7" t="s">
        <v>448</v>
      </c>
      <c r="F23" s="7" t="s">
        <v>164</v>
      </c>
    </row>
    <row r="24" customFormat="false" ht="23.85" hidden="false" customHeight="false" outlineLevel="0" collapsed="false">
      <c r="A24" s="7" t="s">
        <v>200</v>
      </c>
      <c r="B24" s="7" t="s">
        <v>45</v>
      </c>
      <c r="C24" s="7" t="s">
        <v>149</v>
      </c>
      <c r="D24" s="6" t="s">
        <v>444</v>
      </c>
      <c r="E24" s="7" t="s">
        <v>448</v>
      </c>
      <c r="F24" s="7" t="s">
        <v>164</v>
      </c>
    </row>
    <row r="25" customFormat="false" ht="15" hidden="false" customHeight="false" outlineLevel="0" collapsed="false">
      <c r="A25" s="7" t="s">
        <v>203</v>
      </c>
      <c r="B25" s="7" t="s">
        <v>150</v>
      </c>
      <c r="C25" s="7" t="s">
        <v>50</v>
      </c>
      <c r="D25" s="6" t="s">
        <v>444</v>
      </c>
      <c r="E25" s="7" t="s">
        <v>443</v>
      </c>
      <c r="F25" s="7" t="s">
        <v>449</v>
      </c>
    </row>
    <row r="26" customFormat="false" ht="15" hidden="false" customHeight="false" outlineLevel="0" collapsed="false">
      <c r="A26" s="7" t="s">
        <v>206</v>
      </c>
      <c r="B26" s="7" t="s">
        <v>50</v>
      </c>
      <c r="C26" s="7" t="s">
        <v>50</v>
      </c>
      <c r="D26" s="6" t="s">
        <v>444</v>
      </c>
      <c r="E26" s="7" t="s">
        <v>450</v>
      </c>
      <c r="F26" s="7" t="s">
        <v>449</v>
      </c>
    </row>
    <row r="27" customFormat="false" ht="15" hidden="false" customHeight="false" outlineLevel="0" collapsed="false">
      <c r="A27" s="7" t="s">
        <v>208</v>
      </c>
      <c r="B27" s="7" t="s">
        <v>50</v>
      </c>
      <c r="C27" s="7" t="s">
        <v>149</v>
      </c>
      <c r="D27" s="6" t="s">
        <v>444</v>
      </c>
      <c r="E27" s="7" t="s">
        <v>450</v>
      </c>
      <c r="F27" s="7" t="s">
        <v>164</v>
      </c>
    </row>
    <row r="28" customFormat="false" ht="23.85" hidden="false" customHeight="false" outlineLevel="0" collapsed="false">
      <c r="A28" s="7" t="s">
        <v>210</v>
      </c>
      <c r="B28" s="7" t="s">
        <v>150</v>
      </c>
      <c r="C28" s="7" t="s">
        <v>214</v>
      </c>
      <c r="D28" s="6" t="s">
        <v>444</v>
      </c>
      <c r="E28" s="7" t="s">
        <v>443</v>
      </c>
      <c r="F28" s="7" t="s">
        <v>451</v>
      </c>
    </row>
    <row r="29" customFormat="false" ht="23.85" hidden="false" customHeight="false" outlineLevel="0" collapsed="false">
      <c r="A29" s="7" t="s">
        <v>216</v>
      </c>
      <c r="B29" s="7" t="s">
        <v>214</v>
      </c>
      <c r="C29" s="7" t="s">
        <v>214</v>
      </c>
      <c r="D29" s="6" t="s">
        <v>444</v>
      </c>
      <c r="E29" s="7" t="s">
        <v>452</v>
      </c>
      <c r="F29" s="7" t="s">
        <v>451</v>
      </c>
    </row>
    <row r="30" customFormat="false" ht="23.85" hidden="false" customHeight="false" outlineLevel="0" collapsed="false">
      <c r="A30" s="7" t="s">
        <v>218</v>
      </c>
      <c r="B30" s="7" t="s">
        <v>214</v>
      </c>
      <c r="C30" s="7" t="s">
        <v>214</v>
      </c>
      <c r="D30" s="6" t="s">
        <v>444</v>
      </c>
      <c r="E30" s="7" t="s">
        <v>452</v>
      </c>
      <c r="F30" s="7" t="s">
        <v>451</v>
      </c>
    </row>
    <row r="31" customFormat="false" ht="23.85" hidden="false" customHeight="false" outlineLevel="0" collapsed="false">
      <c r="A31" s="7" t="s">
        <v>220</v>
      </c>
      <c r="B31" s="7" t="s">
        <v>214</v>
      </c>
      <c r="C31" s="7" t="s">
        <v>214</v>
      </c>
      <c r="D31" s="6" t="s">
        <v>444</v>
      </c>
      <c r="E31" s="7" t="s">
        <v>452</v>
      </c>
      <c r="F31" s="7" t="s">
        <v>451</v>
      </c>
    </row>
    <row r="32" customFormat="false" ht="15" hidden="false" customHeight="false" outlineLevel="0" collapsed="false">
      <c r="A32" s="7" t="s">
        <v>222</v>
      </c>
      <c r="B32" s="7" t="s">
        <v>214</v>
      </c>
      <c r="C32" s="7" t="s">
        <v>149</v>
      </c>
      <c r="D32" s="6" t="s">
        <v>444</v>
      </c>
      <c r="E32" s="7" t="s">
        <v>452</v>
      </c>
      <c r="F32" s="7" t="s">
        <v>164</v>
      </c>
    </row>
    <row r="33" customFormat="false" ht="15" hidden="false" customHeight="false" outlineLevel="0" collapsed="false">
      <c r="A33" s="7" t="s">
        <v>226</v>
      </c>
      <c r="B33" s="7" t="s">
        <v>214</v>
      </c>
      <c r="C33" s="7" t="s">
        <v>149</v>
      </c>
      <c r="D33" s="6" t="s">
        <v>444</v>
      </c>
      <c r="E33" s="7" t="s">
        <v>452</v>
      </c>
      <c r="F33" s="7" t="s">
        <v>164</v>
      </c>
    </row>
    <row r="34" customFormat="false" ht="15" hidden="false" customHeight="false" outlineLevel="0" collapsed="false">
      <c r="A34" s="7" t="s">
        <v>228</v>
      </c>
      <c r="B34" s="7" t="s">
        <v>214</v>
      </c>
      <c r="C34" s="7" t="s">
        <v>232</v>
      </c>
      <c r="D34" s="6" t="s">
        <v>444</v>
      </c>
      <c r="E34" s="7" t="s">
        <v>452</v>
      </c>
      <c r="F34" s="7" t="s">
        <v>234</v>
      </c>
    </row>
    <row r="35" customFormat="false" ht="15" hidden="false" customHeight="false" outlineLevel="0" collapsed="false">
      <c r="A35" s="7" t="s">
        <v>234</v>
      </c>
      <c r="B35" s="7" t="s">
        <v>232</v>
      </c>
      <c r="C35" s="7" t="s">
        <v>149</v>
      </c>
      <c r="D35" s="6" t="s">
        <v>444</v>
      </c>
      <c r="E35" s="7" t="s">
        <v>228</v>
      </c>
      <c r="F35" s="7" t="s">
        <v>164</v>
      </c>
    </row>
    <row r="36" customFormat="false" ht="23.85" hidden="false" customHeight="false" outlineLevel="0" collapsed="false">
      <c r="A36" s="7" t="s">
        <v>238</v>
      </c>
      <c r="B36" s="7" t="s">
        <v>150</v>
      </c>
      <c r="C36" s="7" t="s">
        <v>244</v>
      </c>
      <c r="D36" s="6" t="s">
        <v>444</v>
      </c>
      <c r="E36" s="7" t="s">
        <v>443</v>
      </c>
      <c r="F36" s="7" t="s">
        <v>453</v>
      </c>
    </row>
    <row r="37" customFormat="false" ht="23.85" hidden="false" customHeight="false" outlineLevel="0" collapsed="false">
      <c r="A37" s="7" t="s">
        <v>246</v>
      </c>
      <c r="B37" s="7" t="s">
        <v>150</v>
      </c>
      <c r="C37" s="7" t="s">
        <v>244</v>
      </c>
      <c r="D37" s="6" t="s">
        <v>444</v>
      </c>
      <c r="E37" s="7" t="s">
        <v>443</v>
      </c>
      <c r="F37" s="7" t="s">
        <v>453</v>
      </c>
    </row>
    <row r="38" customFormat="false" ht="15" hidden="false" customHeight="false" outlineLevel="0" collapsed="false">
      <c r="A38" s="7" t="s">
        <v>249</v>
      </c>
      <c r="B38" s="7" t="s">
        <v>150</v>
      </c>
      <c r="C38" s="7" t="s">
        <v>251</v>
      </c>
      <c r="D38" s="6" t="s">
        <v>444</v>
      </c>
      <c r="E38" s="7" t="s">
        <v>443</v>
      </c>
      <c r="F38" s="7" t="s">
        <v>454</v>
      </c>
    </row>
    <row r="39" customFormat="false" ht="15" hidden="false" customHeight="false" outlineLevel="0" collapsed="false">
      <c r="A39" s="7" t="s">
        <v>253</v>
      </c>
      <c r="B39" s="7" t="s">
        <v>150</v>
      </c>
      <c r="C39" s="7" t="s">
        <v>254</v>
      </c>
      <c r="D39" s="6" t="s">
        <v>442</v>
      </c>
      <c r="E39" s="7" t="s">
        <v>443</v>
      </c>
      <c r="F39" s="7" t="s">
        <v>455</v>
      </c>
    </row>
    <row r="40" customFormat="false" ht="23.85" hidden="false" customHeight="false" outlineLevel="0" collapsed="false">
      <c r="A40" s="7" t="s">
        <v>239</v>
      </c>
      <c r="B40" s="7" t="s">
        <v>244</v>
      </c>
      <c r="C40" s="7" t="s">
        <v>244</v>
      </c>
      <c r="D40" s="6" t="s">
        <v>444</v>
      </c>
      <c r="E40" s="7" t="s">
        <v>456</v>
      </c>
      <c r="F40" s="7" t="s">
        <v>453</v>
      </c>
    </row>
    <row r="41" customFormat="false" ht="23.85" hidden="false" customHeight="false" outlineLevel="0" collapsed="false">
      <c r="A41" s="7" t="s">
        <v>247</v>
      </c>
      <c r="B41" s="7" t="s">
        <v>244</v>
      </c>
      <c r="C41" s="7" t="s">
        <v>244</v>
      </c>
      <c r="D41" s="6" t="s">
        <v>444</v>
      </c>
      <c r="E41" s="7" t="s">
        <v>456</v>
      </c>
      <c r="F41" s="7" t="s">
        <v>453</v>
      </c>
    </row>
    <row r="42" customFormat="false" ht="23.85" hidden="false" customHeight="false" outlineLevel="0" collapsed="false">
      <c r="A42" s="7" t="s">
        <v>258</v>
      </c>
      <c r="B42" s="7" t="s">
        <v>244</v>
      </c>
      <c r="C42" s="7" t="s">
        <v>244</v>
      </c>
      <c r="D42" s="6" t="s">
        <v>444</v>
      </c>
      <c r="E42" s="7" t="s">
        <v>456</v>
      </c>
      <c r="F42" s="7" t="s">
        <v>453</v>
      </c>
    </row>
    <row r="43" customFormat="false" ht="23.85" hidden="false" customHeight="false" outlineLevel="0" collapsed="false">
      <c r="A43" s="7" t="s">
        <v>260</v>
      </c>
      <c r="B43" s="7" t="s">
        <v>244</v>
      </c>
      <c r="C43" s="7" t="s">
        <v>244</v>
      </c>
      <c r="D43" s="6" t="s">
        <v>444</v>
      </c>
      <c r="E43" s="7" t="s">
        <v>456</v>
      </c>
      <c r="F43" s="7" t="s">
        <v>453</v>
      </c>
    </row>
    <row r="44" customFormat="false" ht="15" hidden="false" customHeight="false" outlineLevel="0" collapsed="false">
      <c r="A44" s="7" t="s">
        <v>250</v>
      </c>
      <c r="B44" s="7" t="s">
        <v>251</v>
      </c>
      <c r="C44" s="7" t="s">
        <v>251</v>
      </c>
      <c r="D44" s="6" t="s">
        <v>444</v>
      </c>
      <c r="E44" s="7" t="s">
        <v>457</v>
      </c>
      <c r="F44" s="7" t="s">
        <v>454</v>
      </c>
    </row>
    <row r="45" customFormat="false" ht="15" hidden="false" customHeight="false" outlineLevel="0" collapsed="false">
      <c r="A45" s="7" t="s">
        <v>263</v>
      </c>
      <c r="B45" s="7" t="s">
        <v>254</v>
      </c>
      <c r="C45" s="7" t="s">
        <v>254</v>
      </c>
      <c r="D45" s="6" t="s">
        <v>442</v>
      </c>
      <c r="E45" s="7" t="s">
        <v>458</v>
      </c>
      <c r="F45" s="7" t="s">
        <v>455</v>
      </c>
    </row>
    <row r="46" customFormat="false" ht="23.85" hidden="false" customHeight="false" outlineLevel="0" collapsed="false">
      <c r="A46" s="7" t="s">
        <v>265</v>
      </c>
      <c r="B46" s="7" t="s">
        <v>244</v>
      </c>
      <c r="C46" s="7" t="s">
        <v>269</v>
      </c>
      <c r="D46" s="6" t="s">
        <v>444</v>
      </c>
      <c r="E46" s="7" t="s">
        <v>456</v>
      </c>
      <c r="F46" s="7" t="s">
        <v>274</v>
      </c>
    </row>
    <row r="47" customFormat="false" ht="15" hidden="false" customHeight="false" outlineLevel="0" collapsed="false">
      <c r="A47" s="7" t="s">
        <v>271</v>
      </c>
      <c r="B47" s="7" t="s">
        <v>251</v>
      </c>
      <c r="C47" s="7" t="s">
        <v>272</v>
      </c>
      <c r="D47" s="6" t="s">
        <v>444</v>
      </c>
      <c r="E47" s="7" t="s">
        <v>457</v>
      </c>
      <c r="F47" s="7" t="s">
        <v>279</v>
      </c>
    </row>
    <row r="48" customFormat="false" ht="15" hidden="false" customHeight="false" outlineLevel="0" collapsed="false">
      <c r="A48" s="7" t="s">
        <v>274</v>
      </c>
      <c r="B48" s="7" t="s">
        <v>269</v>
      </c>
      <c r="C48" s="7" t="s">
        <v>149</v>
      </c>
      <c r="D48" s="6" t="s">
        <v>444</v>
      </c>
      <c r="E48" s="7" t="s">
        <v>265</v>
      </c>
      <c r="F48" s="7" t="s">
        <v>164</v>
      </c>
    </row>
    <row r="49" customFormat="false" ht="15" hidden="false" customHeight="false" outlineLevel="0" collapsed="false">
      <c r="A49" s="7" t="s">
        <v>279</v>
      </c>
      <c r="B49" s="7" t="s">
        <v>272</v>
      </c>
      <c r="C49" s="7" t="s">
        <v>149</v>
      </c>
      <c r="D49" s="6" t="s">
        <v>444</v>
      </c>
      <c r="E49" s="7" t="s">
        <v>271</v>
      </c>
      <c r="F49" s="7" t="s">
        <v>164</v>
      </c>
    </row>
    <row r="50" customFormat="false" ht="15" hidden="false" customHeight="false" outlineLevel="0" collapsed="false">
      <c r="A50" s="7" t="s">
        <v>281</v>
      </c>
      <c r="B50" s="7" t="s">
        <v>254</v>
      </c>
      <c r="C50" s="7" t="s">
        <v>149</v>
      </c>
      <c r="D50" s="6" t="s">
        <v>442</v>
      </c>
      <c r="E50" s="7" t="s">
        <v>458</v>
      </c>
      <c r="F50" s="7" t="s">
        <v>164</v>
      </c>
    </row>
    <row r="51" customFormat="false" ht="15" hidden="false" customHeight="false" outlineLevel="0" collapsed="false">
      <c r="A51" s="7" t="s">
        <v>283</v>
      </c>
      <c r="B51" s="7" t="s">
        <v>254</v>
      </c>
      <c r="C51" s="7" t="s">
        <v>149</v>
      </c>
      <c r="D51" s="6" t="s">
        <v>442</v>
      </c>
      <c r="E51" s="7" t="s">
        <v>458</v>
      </c>
      <c r="F51" s="7" t="s">
        <v>164</v>
      </c>
    </row>
    <row r="52" customFormat="false" ht="15" hidden="false" customHeight="false" outlineLevel="0" collapsed="false">
      <c r="A52" s="7" t="s">
        <v>286</v>
      </c>
      <c r="B52" s="7" t="s">
        <v>166</v>
      </c>
      <c r="C52" s="7" t="s">
        <v>149</v>
      </c>
      <c r="D52" s="6" t="s">
        <v>442</v>
      </c>
      <c r="E52" s="7" t="s">
        <v>164</v>
      </c>
      <c r="F52" s="7" t="s">
        <v>164</v>
      </c>
    </row>
    <row r="53" customFormat="false" ht="15" hidden="false" customHeight="false" outlineLevel="0" collapsed="false">
      <c r="A53" s="7" t="s">
        <v>290</v>
      </c>
      <c r="B53" s="7" t="s">
        <v>166</v>
      </c>
      <c r="C53" s="7" t="s">
        <v>149</v>
      </c>
      <c r="D53" s="6" t="s">
        <v>442</v>
      </c>
      <c r="E53" s="7" t="s">
        <v>164</v>
      </c>
      <c r="F53" s="7" t="s">
        <v>164</v>
      </c>
    </row>
    <row r="54" customFormat="false" ht="15" hidden="false" customHeight="false" outlineLevel="0" collapsed="false">
      <c r="A54" s="7" t="s">
        <v>294</v>
      </c>
      <c r="B54" s="7" t="s">
        <v>166</v>
      </c>
      <c r="C54" s="7" t="s">
        <v>149</v>
      </c>
      <c r="D54" s="6" t="s">
        <v>442</v>
      </c>
      <c r="E54" s="7" t="s">
        <v>164</v>
      </c>
      <c r="F54" s="7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120"/>
  </cols>
  <sheetData>
    <row r="1" customFormat="false" ht="17.35" hidden="false" customHeight="false" outlineLevel="0" collapsed="false">
      <c r="A1" s="1" t="s">
        <v>459</v>
      </c>
    </row>
    <row r="2" customFormat="false" ht="15" hidden="false" customHeight="false" outlineLevel="0" collapsed="false">
      <c r="A2" s="2" t="s">
        <v>460</v>
      </c>
    </row>
    <row r="4" customFormat="false" ht="15" hidden="false" customHeight="false" outlineLevel="0" collapsed="false">
      <c r="A4" s="4" t="s">
        <v>133</v>
      </c>
      <c r="B4" s="4" t="s">
        <v>461</v>
      </c>
      <c r="C4" s="4" t="s">
        <v>307</v>
      </c>
      <c r="D4" s="4" t="s">
        <v>462</v>
      </c>
    </row>
    <row r="5" customFormat="false" ht="35.05" hidden="false" customHeight="false" outlineLevel="0" collapsed="false">
      <c r="A5" s="7" t="s">
        <v>146</v>
      </c>
      <c r="B5" s="6" t="s">
        <v>463</v>
      </c>
      <c r="C5" s="7" t="s">
        <v>148</v>
      </c>
      <c r="D5" s="7" t="s">
        <v>464</v>
      </c>
    </row>
    <row r="6" customFormat="false" ht="35.05" hidden="false" customHeight="false" outlineLevel="0" collapsed="false">
      <c r="A6" s="7" t="s">
        <v>146</v>
      </c>
      <c r="B6" s="6" t="s">
        <v>465</v>
      </c>
      <c r="C6" s="7" t="s">
        <v>148</v>
      </c>
      <c r="D6" s="7" t="s">
        <v>466</v>
      </c>
    </row>
    <row r="7" customFormat="false" ht="35.05" hidden="false" customHeight="false" outlineLevel="0" collapsed="false">
      <c r="A7" s="7" t="s">
        <v>146</v>
      </c>
      <c r="B7" s="6" t="s">
        <v>467</v>
      </c>
      <c r="C7" s="7" t="s">
        <v>148</v>
      </c>
      <c r="D7" s="7" t="s">
        <v>468</v>
      </c>
    </row>
    <row r="8" customFormat="false" ht="35.05" hidden="false" customHeight="false" outlineLevel="0" collapsed="false">
      <c r="A8" s="7" t="s">
        <v>146</v>
      </c>
      <c r="B8" s="6" t="s">
        <v>469</v>
      </c>
      <c r="C8" s="7" t="s">
        <v>148</v>
      </c>
      <c r="D8" s="7" t="s">
        <v>470</v>
      </c>
    </row>
    <row r="9" customFormat="false" ht="35.05" hidden="false" customHeight="false" outlineLevel="0" collapsed="false">
      <c r="A9" s="7" t="s">
        <v>152</v>
      </c>
      <c r="B9" s="6" t="s">
        <v>463</v>
      </c>
      <c r="C9" s="7" t="s">
        <v>148</v>
      </c>
      <c r="D9" s="7" t="s">
        <v>464</v>
      </c>
    </row>
    <row r="10" customFormat="false" ht="35.05" hidden="false" customHeight="false" outlineLevel="0" collapsed="false">
      <c r="A10" s="7" t="s">
        <v>152</v>
      </c>
      <c r="B10" s="6" t="s">
        <v>465</v>
      </c>
      <c r="C10" s="7" t="s">
        <v>148</v>
      </c>
      <c r="D10" s="7" t="s">
        <v>466</v>
      </c>
    </row>
    <row r="11" customFormat="false" ht="35.05" hidden="false" customHeight="false" outlineLevel="0" collapsed="false">
      <c r="A11" s="7" t="s">
        <v>152</v>
      </c>
      <c r="B11" s="6" t="s">
        <v>467</v>
      </c>
      <c r="C11" s="7" t="s">
        <v>148</v>
      </c>
      <c r="D11" s="7" t="s">
        <v>468</v>
      </c>
    </row>
    <row r="12" customFormat="false" ht="35.05" hidden="false" customHeight="false" outlineLevel="0" collapsed="false">
      <c r="A12" s="7" t="s">
        <v>152</v>
      </c>
      <c r="B12" s="6" t="s">
        <v>469</v>
      </c>
      <c r="C12" s="7" t="s">
        <v>148</v>
      </c>
      <c r="D12" s="7" t="s">
        <v>470</v>
      </c>
    </row>
    <row r="13" customFormat="false" ht="35.05" hidden="false" customHeight="false" outlineLevel="0" collapsed="false">
      <c r="A13" s="7" t="s">
        <v>154</v>
      </c>
      <c r="B13" s="6" t="s">
        <v>463</v>
      </c>
      <c r="C13" s="7" t="s">
        <v>148</v>
      </c>
      <c r="D13" s="7" t="s">
        <v>464</v>
      </c>
    </row>
    <row r="14" customFormat="false" ht="35.05" hidden="false" customHeight="false" outlineLevel="0" collapsed="false">
      <c r="A14" s="7" t="s">
        <v>154</v>
      </c>
      <c r="B14" s="6" t="s">
        <v>465</v>
      </c>
      <c r="C14" s="7" t="s">
        <v>148</v>
      </c>
      <c r="D14" s="7" t="s">
        <v>466</v>
      </c>
    </row>
    <row r="15" customFormat="false" ht="35.05" hidden="false" customHeight="false" outlineLevel="0" collapsed="false">
      <c r="A15" s="7" t="s">
        <v>154</v>
      </c>
      <c r="B15" s="6" t="s">
        <v>467</v>
      </c>
      <c r="C15" s="7" t="s">
        <v>148</v>
      </c>
      <c r="D15" s="7" t="s">
        <v>468</v>
      </c>
    </row>
    <row r="16" customFormat="false" ht="35.05" hidden="false" customHeight="false" outlineLevel="0" collapsed="false">
      <c r="A16" s="7" t="s">
        <v>154</v>
      </c>
      <c r="B16" s="6" t="s">
        <v>469</v>
      </c>
      <c r="C16" s="7" t="s">
        <v>148</v>
      </c>
      <c r="D16" s="7" t="s">
        <v>470</v>
      </c>
    </row>
    <row r="17" customFormat="false" ht="35.05" hidden="false" customHeight="false" outlineLevel="0" collapsed="false">
      <c r="A17" s="7" t="s">
        <v>156</v>
      </c>
      <c r="B17" s="6" t="s">
        <v>463</v>
      </c>
      <c r="C17" s="7" t="s">
        <v>148</v>
      </c>
      <c r="D17" s="7" t="s">
        <v>464</v>
      </c>
    </row>
    <row r="18" customFormat="false" ht="35.05" hidden="false" customHeight="false" outlineLevel="0" collapsed="false">
      <c r="A18" s="7" t="s">
        <v>156</v>
      </c>
      <c r="B18" s="6" t="s">
        <v>465</v>
      </c>
      <c r="C18" s="7" t="s">
        <v>148</v>
      </c>
      <c r="D18" s="7" t="s">
        <v>466</v>
      </c>
    </row>
    <row r="19" customFormat="false" ht="35.05" hidden="false" customHeight="false" outlineLevel="0" collapsed="false">
      <c r="A19" s="7" t="s">
        <v>156</v>
      </c>
      <c r="B19" s="6" t="s">
        <v>467</v>
      </c>
      <c r="C19" s="7" t="s">
        <v>148</v>
      </c>
      <c r="D19" s="7" t="s">
        <v>468</v>
      </c>
    </row>
    <row r="20" customFormat="false" ht="35.05" hidden="false" customHeight="false" outlineLevel="0" collapsed="false">
      <c r="A20" s="7" t="s">
        <v>156</v>
      </c>
      <c r="B20" s="6" t="s">
        <v>469</v>
      </c>
      <c r="C20" s="7" t="s">
        <v>148</v>
      </c>
      <c r="D20" s="7" t="s">
        <v>470</v>
      </c>
    </row>
    <row r="21" customFormat="false" ht="35.05" hidden="false" customHeight="false" outlineLevel="0" collapsed="false">
      <c r="A21" s="7" t="s">
        <v>158</v>
      </c>
      <c r="B21" s="6" t="s">
        <v>463</v>
      </c>
      <c r="C21" s="7" t="s">
        <v>148</v>
      </c>
      <c r="D21" s="7" t="s">
        <v>464</v>
      </c>
    </row>
    <row r="22" customFormat="false" ht="35.05" hidden="false" customHeight="false" outlineLevel="0" collapsed="false">
      <c r="A22" s="7" t="s">
        <v>158</v>
      </c>
      <c r="B22" s="6" t="s">
        <v>465</v>
      </c>
      <c r="C22" s="7" t="s">
        <v>148</v>
      </c>
      <c r="D22" s="7" t="s">
        <v>466</v>
      </c>
    </row>
    <row r="23" customFormat="false" ht="35.05" hidden="false" customHeight="false" outlineLevel="0" collapsed="false">
      <c r="A23" s="7" t="s">
        <v>158</v>
      </c>
      <c r="B23" s="6" t="s">
        <v>467</v>
      </c>
      <c r="C23" s="7" t="s">
        <v>148</v>
      </c>
      <c r="D23" s="7" t="s">
        <v>468</v>
      </c>
    </row>
    <row r="24" customFormat="false" ht="35.05" hidden="false" customHeight="false" outlineLevel="0" collapsed="false">
      <c r="A24" s="7" t="s">
        <v>158</v>
      </c>
      <c r="B24" s="6" t="s">
        <v>469</v>
      </c>
      <c r="C24" s="7" t="s">
        <v>148</v>
      </c>
      <c r="D24" s="7" t="s">
        <v>470</v>
      </c>
    </row>
    <row r="25" customFormat="false" ht="35.05" hidden="false" customHeight="false" outlineLevel="0" collapsed="false">
      <c r="A25" s="7" t="s">
        <v>160</v>
      </c>
      <c r="B25" s="6" t="s">
        <v>463</v>
      </c>
      <c r="C25" s="7" t="s">
        <v>148</v>
      </c>
      <c r="D25" s="7" t="s">
        <v>464</v>
      </c>
    </row>
    <row r="26" customFormat="false" ht="15" hidden="false" customHeight="false" outlineLevel="0" collapsed="false">
      <c r="A26" s="7" t="s">
        <v>160</v>
      </c>
      <c r="B26" s="6" t="s">
        <v>465</v>
      </c>
      <c r="C26" s="7" t="s">
        <v>161</v>
      </c>
      <c r="D26" s="7" t="s">
        <v>471</v>
      </c>
    </row>
    <row r="27" customFormat="false" ht="35.05" hidden="false" customHeight="false" outlineLevel="0" collapsed="false">
      <c r="A27" s="7" t="s">
        <v>160</v>
      </c>
      <c r="B27" s="6" t="s">
        <v>467</v>
      </c>
      <c r="C27" s="7" t="s">
        <v>148</v>
      </c>
      <c r="D27" s="7" t="s">
        <v>468</v>
      </c>
    </row>
    <row r="28" customFormat="false" ht="35.05" hidden="false" customHeight="false" outlineLevel="0" collapsed="false">
      <c r="A28" s="7" t="s">
        <v>160</v>
      </c>
      <c r="B28" s="6" t="s">
        <v>469</v>
      </c>
      <c r="C28" s="7" t="s">
        <v>148</v>
      </c>
      <c r="D28" s="7" t="s">
        <v>470</v>
      </c>
    </row>
    <row r="29" customFormat="false" ht="68.65" hidden="false" customHeight="false" outlineLevel="0" collapsed="false">
      <c r="A29" s="7" t="s">
        <v>164</v>
      </c>
      <c r="B29" s="6" t="s">
        <v>463</v>
      </c>
      <c r="C29" s="7" t="s">
        <v>149</v>
      </c>
      <c r="D29" s="7" t="s">
        <v>472</v>
      </c>
    </row>
    <row r="30" customFormat="false" ht="57.45" hidden="false" customHeight="false" outlineLevel="0" collapsed="false">
      <c r="A30" s="7" t="s">
        <v>164</v>
      </c>
      <c r="B30" s="6" t="s">
        <v>465</v>
      </c>
      <c r="C30" s="7" t="s">
        <v>149</v>
      </c>
      <c r="D30" s="7" t="s">
        <v>473</v>
      </c>
    </row>
    <row r="31" customFormat="false" ht="68.65" hidden="false" customHeight="false" outlineLevel="0" collapsed="false">
      <c r="A31" s="7" t="s">
        <v>164</v>
      </c>
      <c r="B31" s="6" t="s">
        <v>467</v>
      </c>
      <c r="C31" s="7" t="s">
        <v>149</v>
      </c>
      <c r="D31" s="7" t="s">
        <v>474</v>
      </c>
    </row>
    <row r="32" customFormat="false" ht="68.65" hidden="false" customHeight="false" outlineLevel="0" collapsed="false">
      <c r="A32" s="7" t="s">
        <v>164</v>
      </c>
      <c r="B32" s="6" t="s">
        <v>469</v>
      </c>
      <c r="C32" s="7" t="s">
        <v>149</v>
      </c>
      <c r="D32" s="7" t="s">
        <v>475</v>
      </c>
    </row>
    <row r="33" customFormat="false" ht="68.65" hidden="false" customHeight="false" outlineLevel="0" collapsed="false">
      <c r="A33" s="7" t="s">
        <v>168</v>
      </c>
      <c r="B33" s="6" t="s">
        <v>463</v>
      </c>
      <c r="C33" s="7" t="s">
        <v>149</v>
      </c>
      <c r="D33" s="7" t="s">
        <v>472</v>
      </c>
    </row>
    <row r="34" customFormat="false" ht="15" hidden="false" customHeight="false" outlineLevel="0" collapsed="false">
      <c r="A34" s="7" t="s">
        <v>168</v>
      </c>
      <c r="B34" s="6" t="s">
        <v>465</v>
      </c>
      <c r="C34" s="7" t="s">
        <v>169</v>
      </c>
      <c r="D34" s="7" t="s">
        <v>476</v>
      </c>
    </row>
    <row r="35" customFormat="false" ht="68.65" hidden="false" customHeight="false" outlineLevel="0" collapsed="false">
      <c r="A35" s="7" t="s">
        <v>168</v>
      </c>
      <c r="B35" s="6" t="s">
        <v>467</v>
      </c>
      <c r="C35" s="7" t="s">
        <v>149</v>
      </c>
      <c r="D35" s="7" t="s">
        <v>474</v>
      </c>
    </row>
    <row r="36" customFormat="false" ht="68.65" hidden="false" customHeight="false" outlineLevel="0" collapsed="false">
      <c r="A36" s="7" t="s">
        <v>168</v>
      </c>
      <c r="B36" s="6" t="s">
        <v>469</v>
      </c>
      <c r="C36" s="7" t="s">
        <v>149</v>
      </c>
      <c r="D36" s="7" t="s">
        <v>475</v>
      </c>
    </row>
    <row r="37" customFormat="false" ht="23.85" hidden="false" customHeight="false" outlineLevel="0" collapsed="false">
      <c r="A37" s="7" t="s">
        <v>171</v>
      </c>
      <c r="B37" s="6" t="s">
        <v>463</v>
      </c>
      <c r="C37" s="7" t="s">
        <v>172</v>
      </c>
      <c r="D37" s="7" t="s">
        <v>477</v>
      </c>
    </row>
    <row r="38" customFormat="false" ht="15" hidden="false" customHeight="false" outlineLevel="0" collapsed="false">
      <c r="A38" s="7" t="s">
        <v>171</v>
      </c>
      <c r="B38" s="6" t="s">
        <v>465</v>
      </c>
      <c r="C38" s="7" t="s">
        <v>173</v>
      </c>
      <c r="D38" s="7" t="s">
        <v>478</v>
      </c>
    </row>
    <row r="39" customFormat="false" ht="23.85" hidden="false" customHeight="false" outlineLevel="0" collapsed="false">
      <c r="A39" s="7" t="s">
        <v>171</v>
      </c>
      <c r="B39" s="6" t="s">
        <v>467</v>
      </c>
      <c r="C39" s="7" t="s">
        <v>174</v>
      </c>
      <c r="D39" s="7" t="s">
        <v>479</v>
      </c>
    </row>
    <row r="40" customFormat="false" ht="15" hidden="false" customHeight="false" outlineLevel="0" collapsed="false">
      <c r="A40" s="7" t="s">
        <v>171</v>
      </c>
      <c r="B40" s="6" t="s">
        <v>469</v>
      </c>
      <c r="C40" s="7" t="s">
        <v>173</v>
      </c>
      <c r="D40" s="7" t="s">
        <v>480</v>
      </c>
    </row>
    <row r="41" customFormat="false" ht="23.85" hidden="false" customHeight="false" outlineLevel="0" collapsed="false">
      <c r="A41" s="7" t="s">
        <v>176</v>
      </c>
      <c r="B41" s="6" t="s">
        <v>463</v>
      </c>
      <c r="C41" s="7" t="s">
        <v>172</v>
      </c>
      <c r="D41" s="7" t="s">
        <v>477</v>
      </c>
    </row>
    <row r="42" customFormat="false" ht="15" hidden="false" customHeight="false" outlineLevel="0" collapsed="false">
      <c r="A42" s="7" t="s">
        <v>176</v>
      </c>
      <c r="B42" s="6" t="s">
        <v>465</v>
      </c>
      <c r="C42" s="7" t="s">
        <v>173</v>
      </c>
      <c r="D42" s="7" t="s">
        <v>478</v>
      </c>
    </row>
    <row r="43" customFormat="false" ht="23.85" hidden="false" customHeight="false" outlineLevel="0" collapsed="false">
      <c r="A43" s="7" t="s">
        <v>176</v>
      </c>
      <c r="B43" s="6" t="s">
        <v>467</v>
      </c>
      <c r="C43" s="7" t="s">
        <v>174</v>
      </c>
      <c r="D43" s="7" t="s">
        <v>479</v>
      </c>
    </row>
    <row r="44" customFormat="false" ht="15" hidden="false" customHeight="false" outlineLevel="0" collapsed="false">
      <c r="A44" s="7" t="s">
        <v>176</v>
      </c>
      <c r="B44" s="6" t="s">
        <v>469</v>
      </c>
      <c r="C44" s="7" t="s">
        <v>173</v>
      </c>
      <c r="D44" s="7" t="s">
        <v>480</v>
      </c>
    </row>
    <row r="45" customFormat="false" ht="23.85" hidden="false" customHeight="false" outlineLevel="0" collapsed="false">
      <c r="A45" s="7" t="s">
        <v>178</v>
      </c>
      <c r="B45" s="6" t="s">
        <v>463</v>
      </c>
      <c r="C45" s="7" t="s">
        <v>172</v>
      </c>
      <c r="D45" s="7" t="s">
        <v>477</v>
      </c>
    </row>
    <row r="46" customFormat="false" ht="15" hidden="false" customHeight="false" outlineLevel="0" collapsed="false">
      <c r="A46" s="7" t="s">
        <v>178</v>
      </c>
      <c r="B46" s="6" t="s">
        <v>465</v>
      </c>
      <c r="C46" s="7" t="s">
        <v>173</v>
      </c>
      <c r="D46" s="7" t="s">
        <v>478</v>
      </c>
    </row>
    <row r="47" customFormat="false" ht="23.85" hidden="false" customHeight="false" outlineLevel="0" collapsed="false">
      <c r="A47" s="7" t="s">
        <v>178</v>
      </c>
      <c r="B47" s="6" t="s">
        <v>467</v>
      </c>
      <c r="C47" s="7" t="s">
        <v>174</v>
      </c>
      <c r="D47" s="7" t="s">
        <v>479</v>
      </c>
    </row>
    <row r="48" customFormat="false" ht="15" hidden="false" customHeight="false" outlineLevel="0" collapsed="false">
      <c r="A48" s="7" t="s">
        <v>178</v>
      </c>
      <c r="B48" s="6" t="s">
        <v>469</v>
      </c>
      <c r="C48" s="7" t="s">
        <v>173</v>
      </c>
      <c r="D48" s="7" t="s">
        <v>480</v>
      </c>
    </row>
    <row r="49" customFormat="false" ht="23.85" hidden="false" customHeight="false" outlineLevel="0" collapsed="false">
      <c r="A49" s="7" t="s">
        <v>180</v>
      </c>
      <c r="B49" s="6" t="s">
        <v>463</v>
      </c>
      <c r="C49" s="7" t="s">
        <v>172</v>
      </c>
      <c r="D49" s="7" t="s">
        <v>477</v>
      </c>
    </row>
    <row r="50" customFormat="false" ht="15" hidden="false" customHeight="false" outlineLevel="0" collapsed="false">
      <c r="A50" s="7" t="s">
        <v>180</v>
      </c>
      <c r="B50" s="6" t="s">
        <v>465</v>
      </c>
      <c r="C50" s="7" t="s">
        <v>173</v>
      </c>
      <c r="D50" s="7" t="s">
        <v>478</v>
      </c>
    </row>
    <row r="51" customFormat="false" ht="23.85" hidden="false" customHeight="false" outlineLevel="0" collapsed="false">
      <c r="A51" s="7" t="s">
        <v>180</v>
      </c>
      <c r="B51" s="6" t="s">
        <v>467</v>
      </c>
      <c r="C51" s="7" t="s">
        <v>174</v>
      </c>
      <c r="D51" s="7" t="s">
        <v>479</v>
      </c>
    </row>
    <row r="52" customFormat="false" ht="15" hidden="false" customHeight="false" outlineLevel="0" collapsed="false">
      <c r="A52" s="7" t="s">
        <v>180</v>
      </c>
      <c r="B52" s="6" t="s">
        <v>469</v>
      </c>
      <c r="C52" s="7" t="s">
        <v>173</v>
      </c>
      <c r="D52" s="7" t="s">
        <v>480</v>
      </c>
    </row>
    <row r="53" customFormat="false" ht="23.85" hidden="false" customHeight="false" outlineLevel="0" collapsed="false">
      <c r="A53" s="7" t="s">
        <v>182</v>
      </c>
      <c r="B53" s="6" t="s">
        <v>463</v>
      </c>
      <c r="C53" s="7" t="s">
        <v>172</v>
      </c>
      <c r="D53" s="7" t="s">
        <v>477</v>
      </c>
    </row>
    <row r="54" customFormat="false" ht="15" hidden="false" customHeight="false" outlineLevel="0" collapsed="false">
      <c r="A54" s="7" t="s">
        <v>182</v>
      </c>
      <c r="B54" s="6" t="s">
        <v>465</v>
      </c>
      <c r="C54" s="7" t="s">
        <v>173</v>
      </c>
      <c r="D54" s="7" t="s">
        <v>478</v>
      </c>
    </row>
    <row r="55" customFormat="false" ht="23.85" hidden="false" customHeight="false" outlineLevel="0" collapsed="false">
      <c r="A55" s="7" t="s">
        <v>182</v>
      </c>
      <c r="B55" s="6" t="s">
        <v>467</v>
      </c>
      <c r="C55" s="7" t="s">
        <v>174</v>
      </c>
      <c r="D55" s="7" t="s">
        <v>479</v>
      </c>
    </row>
    <row r="56" customFormat="false" ht="15" hidden="false" customHeight="false" outlineLevel="0" collapsed="false">
      <c r="A56" s="7" t="s">
        <v>182</v>
      </c>
      <c r="B56" s="6" t="s">
        <v>469</v>
      </c>
      <c r="C56" s="7" t="s">
        <v>173</v>
      </c>
      <c r="D56" s="7" t="s">
        <v>480</v>
      </c>
    </row>
    <row r="57" customFormat="false" ht="23.85" hidden="false" customHeight="false" outlineLevel="0" collapsed="false">
      <c r="A57" s="7" t="s">
        <v>184</v>
      </c>
      <c r="B57" s="6" t="s">
        <v>463</v>
      </c>
      <c r="C57" s="7" t="s">
        <v>185</v>
      </c>
      <c r="D57" s="7" t="s">
        <v>481</v>
      </c>
    </row>
    <row r="58" customFormat="false" ht="23.85" hidden="false" customHeight="false" outlineLevel="0" collapsed="false">
      <c r="A58" s="7" t="s">
        <v>184</v>
      </c>
      <c r="B58" s="6" t="s">
        <v>465</v>
      </c>
      <c r="C58" s="7" t="s">
        <v>186</v>
      </c>
      <c r="D58" s="7" t="s">
        <v>482</v>
      </c>
    </row>
    <row r="59" customFormat="false" ht="23.85" hidden="false" customHeight="false" outlineLevel="0" collapsed="false">
      <c r="A59" s="7" t="s">
        <v>184</v>
      </c>
      <c r="B59" s="6" t="s">
        <v>467</v>
      </c>
      <c r="C59" s="7" t="s">
        <v>185</v>
      </c>
      <c r="D59" s="7" t="s">
        <v>483</v>
      </c>
    </row>
    <row r="60" customFormat="false" ht="23.85" hidden="false" customHeight="false" outlineLevel="0" collapsed="false">
      <c r="A60" s="7" t="s">
        <v>184</v>
      </c>
      <c r="B60" s="6" t="s">
        <v>469</v>
      </c>
      <c r="C60" s="7" t="s">
        <v>186</v>
      </c>
      <c r="D60" s="7" t="s">
        <v>484</v>
      </c>
    </row>
    <row r="61" customFormat="false" ht="23.85" hidden="false" customHeight="false" outlineLevel="0" collapsed="false">
      <c r="A61" s="7" t="s">
        <v>188</v>
      </c>
      <c r="B61" s="6" t="s">
        <v>463</v>
      </c>
      <c r="C61" s="7" t="s">
        <v>185</v>
      </c>
      <c r="D61" s="7" t="s">
        <v>481</v>
      </c>
    </row>
    <row r="62" customFormat="false" ht="23.85" hidden="false" customHeight="false" outlineLevel="0" collapsed="false">
      <c r="A62" s="7" t="s">
        <v>188</v>
      </c>
      <c r="B62" s="6" t="s">
        <v>465</v>
      </c>
      <c r="C62" s="7" t="s">
        <v>186</v>
      </c>
      <c r="D62" s="7" t="s">
        <v>482</v>
      </c>
    </row>
    <row r="63" customFormat="false" ht="23.85" hidden="false" customHeight="false" outlineLevel="0" collapsed="false">
      <c r="A63" s="7" t="s">
        <v>188</v>
      </c>
      <c r="B63" s="6" t="s">
        <v>467</v>
      </c>
      <c r="C63" s="7" t="s">
        <v>185</v>
      </c>
      <c r="D63" s="7" t="s">
        <v>483</v>
      </c>
    </row>
    <row r="64" customFormat="false" ht="23.85" hidden="false" customHeight="false" outlineLevel="0" collapsed="false">
      <c r="A64" s="7" t="s">
        <v>188</v>
      </c>
      <c r="B64" s="6" t="s">
        <v>469</v>
      </c>
      <c r="C64" s="7" t="s">
        <v>186</v>
      </c>
      <c r="D64" s="7" t="s">
        <v>484</v>
      </c>
    </row>
    <row r="65" customFormat="false" ht="23.85" hidden="false" customHeight="false" outlineLevel="0" collapsed="false">
      <c r="A65" s="7" t="s">
        <v>190</v>
      </c>
      <c r="B65" s="6" t="s">
        <v>463</v>
      </c>
      <c r="C65" s="7" t="s">
        <v>185</v>
      </c>
      <c r="D65" s="7" t="s">
        <v>481</v>
      </c>
    </row>
    <row r="66" customFormat="false" ht="23.85" hidden="false" customHeight="false" outlineLevel="0" collapsed="false">
      <c r="A66" s="7" t="s">
        <v>190</v>
      </c>
      <c r="B66" s="6" t="s">
        <v>465</v>
      </c>
      <c r="C66" s="7" t="s">
        <v>186</v>
      </c>
      <c r="D66" s="7" t="s">
        <v>482</v>
      </c>
    </row>
    <row r="67" customFormat="false" ht="23.85" hidden="false" customHeight="false" outlineLevel="0" collapsed="false">
      <c r="A67" s="7" t="s">
        <v>190</v>
      </c>
      <c r="B67" s="6" t="s">
        <v>467</v>
      </c>
      <c r="C67" s="7" t="s">
        <v>185</v>
      </c>
      <c r="D67" s="7" t="s">
        <v>483</v>
      </c>
    </row>
    <row r="68" customFormat="false" ht="23.85" hidden="false" customHeight="false" outlineLevel="0" collapsed="false">
      <c r="A68" s="7" t="s">
        <v>190</v>
      </c>
      <c r="B68" s="6" t="s">
        <v>469</v>
      </c>
      <c r="C68" s="7" t="s">
        <v>186</v>
      </c>
      <c r="D68" s="7" t="s">
        <v>484</v>
      </c>
    </row>
    <row r="69" customFormat="false" ht="23.85" hidden="false" customHeight="false" outlineLevel="0" collapsed="false">
      <c r="A69" s="7" t="s">
        <v>192</v>
      </c>
      <c r="B69" s="6" t="s">
        <v>463</v>
      </c>
      <c r="C69" s="7" t="s">
        <v>193</v>
      </c>
      <c r="D69" s="7" t="s">
        <v>485</v>
      </c>
    </row>
    <row r="70" customFormat="false" ht="23.85" hidden="false" customHeight="false" outlineLevel="0" collapsed="false">
      <c r="A70" s="7" t="s">
        <v>192</v>
      </c>
      <c r="B70" s="6" t="s">
        <v>465</v>
      </c>
      <c r="C70" s="7" t="s">
        <v>186</v>
      </c>
      <c r="D70" s="7" t="s">
        <v>482</v>
      </c>
    </row>
    <row r="71" customFormat="false" ht="23.85" hidden="false" customHeight="false" outlineLevel="0" collapsed="false">
      <c r="A71" s="7" t="s">
        <v>192</v>
      </c>
      <c r="B71" s="6" t="s">
        <v>467</v>
      </c>
      <c r="C71" s="7" t="s">
        <v>194</v>
      </c>
      <c r="D71" s="7" t="s">
        <v>486</v>
      </c>
    </row>
    <row r="72" customFormat="false" ht="23.85" hidden="false" customHeight="false" outlineLevel="0" collapsed="false">
      <c r="A72" s="7" t="s">
        <v>192</v>
      </c>
      <c r="B72" s="6" t="s">
        <v>469</v>
      </c>
      <c r="C72" s="7" t="s">
        <v>186</v>
      </c>
      <c r="D72" s="7" t="s">
        <v>484</v>
      </c>
    </row>
    <row r="73" customFormat="false" ht="23.85" hidden="false" customHeight="false" outlineLevel="0" collapsed="false">
      <c r="A73" s="7" t="s">
        <v>196</v>
      </c>
      <c r="B73" s="6" t="s">
        <v>463</v>
      </c>
      <c r="C73" s="7" t="s">
        <v>193</v>
      </c>
      <c r="D73" s="7" t="s">
        <v>485</v>
      </c>
    </row>
    <row r="74" customFormat="false" ht="23.85" hidden="false" customHeight="false" outlineLevel="0" collapsed="false">
      <c r="A74" s="7" t="s">
        <v>196</v>
      </c>
      <c r="B74" s="6" t="s">
        <v>465</v>
      </c>
      <c r="C74" s="7" t="s">
        <v>186</v>
      </c>
      <c r="D74" s="7" t="s">
        <v>482</v>
      </c>
    </row>
    <row r="75" customFormat="false" ht="23.85" hidden="false" customHeight="false" outlineLevel="0" collapsed="false">
      <c r="A75" s="7" t="s">
        <v>196</v>
      </c>
      <c r="B75" s="6" t="s">
        <v>467</v>
      </c>
      <c r="C75" s="7" t="s">
        <v>194</v>
      </c>
      <c r="D75" s="7" t="s">
        <v>486</v>
      </c>
    </row>
    <row r="76" customFormat="false" ht="23.85" hidden="false" customHeight="false" outlineLevel="0" collapsed="false">
      <c r="A76" s="7" t="s">
        <v>196</v>
      </c>
      <c r="B76" s="6" t="s">
        <v>469</v>
      </c>
      <c r="C76" s="7" t="s">
        <v>186</v>
      </c>
      <c r="D76" s="7" t="s">
        <v>484</v>
      </c>
    </row>
    <row r="77" customFormat="false" ht="23.85" hidden="false" customHeight="false" outlineLevel="0" collapsed="false">
      <c r="A77" s="7" t="s">
        <v>198</v>
      </c>
      <c r="B77" s="6" t="s">
        <v>463</v>
      </c>
      <c r="C77" s="7" t="s">
        <v>193</v>
      </c>
      <c r="D77" s="7" t="s">
        <v>485</v>
      </c>
    </row>
    <row r="78" customFormat="false" ht="23.85" hidden="false" customHeight="false" outlineLevel="0" collapsed="false">
      <c r="A78" s="7" t="s">
        <v>198</v>
      </c>
      <c r="B78" s="6" t="s">
        <v>465</v>
      </c>
      <c r="C78" s="7" t="s">
        <v>186</v>
      </c>
      <c r="D78" s="7" t="s">
        <v>482</v>
      </c>
    </row>
    <row r="79" customFormat="false" ht="23.85" hidden="false" customHeight="false" outlineLevel="0" collapsed="false">
      <c r="A79" s="7" t="s">
        <v>198</v>
      </c>
      <c r="B79" s="6" t="s">
        <v>467</v>
      </c>
      <c r="C79" s="7" t="s">
        <v>194</v>
      </c>
      <c r="D79" s="7" t="s">
        <v>486</v>
      </c>
    </row>
    <row r="80" customFormat="false" ht="23.85" hidden="false" customHeight="false" outlineLevel="0" collapsed="false">
      <c r="A80" s="7" t="s">
        <v>198</v>
      </c>
      <c r="B80" s="6" t="s">
        <v>469</v>
      </c>
      <c r="C80" s="7" t="s">
        <v>186</v>
      </c>
      <c r="D80" s="7" t="s">
        <v>484</v>
      </c>
    </row>
    <row r="81" customFormat="false" ht="23.85" hidden="false" customHeight="false" outlineLevel="0" collapsed="false">
      <c r="A81" s="7" t="s">
        <v>200</v>
      </c>
      <c r="B81" s="6" t="s">
        <v>463</v>
      </c>
      <c r="C81" s="7" t="s">
        <v>193</v>
      </c>
      <c r="D81" s="7" t="s">
        <v>485</v>
      </c>
    </row>
    <row r="82" customFormat="false" ht="15" hidden="false" customHeight="false" outlineLevel="0" collapsed="false">
      <c r="A82" s="7" t="s">
        <v>200</v>
      </c>
      <c r="B82" s="6" t="s">
        <v>465</v>
      </c>
      <c r="C82" s="7" t="s">
        <v>201</v>
      </c>
      <c r="D82" s="7" t="s">
        <v>487</v>
      </c>
    </row>
    <row r="83" customFormat="false" ht="23.85" hidden="false" customHeight="false" outlineLevel="0" collapsed="false">
      <c r="A83" s="7" t="s">
        <v>200</v>
      </c>
      <c r="B83" s="6" t="s">
        <v>467</v>
      </c>
      <c r="C83" s="7" t="s">
        <v>194</v>
      </c>
      <c r="D83" s="7" t="s">
        <v>486</v>
      </c>
    </row>
    <row r="84" customFormat="false" ht="23.85" hidden="false" customHeight="false" outlineLevel="0" collapsed="false">
      <c r="A84" s="7" t="s">
        <v>200</v>
      </c>
      <c r="B84" s="6" t="s">
        <v>469</v>
      </c>
      <c r="C84" s="7" t="s">
        <v>186</v>
      </c>
      <c r="D84" s="7" t="s">
        <v>484</v>
      </c>
    </row>
    <row r="85" customFormat="false" ht="23.85" hidden="false" customHeight="false" outlineLevel="0" collapsed="false">
      <c r="A85" s="7" t="s">
        <v>203</v>
      </c>
      <c r="B85" s="6" t="s">
        <v>463</v>
      </c>
      <c r="C85" s="7" t="s">
        <v>172</v>
      </c>
      <c r="D85" s="7" t="s">
        <v>477</v>
      </c>
    </row>
    <row r="86" customFormat="false" ht="23.85" hidden="false" customHeight="false" outlineLevel="0" collapsed="false">
      <c r="A86" s="7" t="s">
        <v>203</v>
      </c>
      <c r="B86" s="6" t="s">
        <v>465</v>
      </c>
      <c r="C86" s="7" t="s">
        <v>174</v>
      </c>
      <c r="D86" s="7" t="s">
        <v>488</v>
      </c>
    </row>
    <row r="87" customFormat="false" ht="15" hidden="false" customHeight="false" outlineLevel="0" collapsed="false">
      <c r="A87" s="7" t="s">
        <v>203</v>
      </c>
      <c r="B87" s="6" t="s">
        <v>467</v>
      </c>
      <c r="C87" s="7" t="s">
        <v>173</v>
      </c>
      <c r="D87" s="7" t="s">
        <v>489</v>
      </c>
    </row>
    <row r="88" customFormat="false" ht="15" hidden="false" customHeight="false" outlineLevel="0" collapsed="false">
      <c r="A88" s="7" t="s">
        <v>203</v>
      </c>
      <c r="B88" s="6" t="s">
        <v>469</v>
      </c>
      <c r="C88" s="7" t="s">
        <v>173</v>
      </c>
      <c r="D88" s="7" t="s">
        <v>480</v>
      </c>
    </row>
    <row r="89" customFormat="false" ht="23.85" hidden="false" customHeight="false" outlineLevel="0" collapsed="false">
      <c r="A89" s="7" t="s">
        <v>206</v>
      </c>
      <c r="B89" s="6" t="s">
        <v>463</v>
      </c>
      <c r="C89" s="7" t="s">
        <v>185</v>
      </c>
      <c r="D89" s="7" t="s">
        <v>481</v>
      </c>
    </row>
    <row r="90" customFormat="false" ht="23.85" hidden="false" customHeight="false" outlineLevel="0" collapsed="false">
      <c r="A90" s="7" t="s">
        <v>206</v>
      </c>
      <c r="B90" s="6" t="s">
        <v>465</v>
      </c>
      <c r="C90" s="7" t="s">
        <v>185</v>
      </c>
      <c r="D90" s="7" t="s">
        <v>490</v>
      </c>
    </row>
    <row r="91" customFormat="false" ht="23.85" hidden="false" customHeight="false" outlineLevel="0" collapsed="false">
      <c r="A91" s="7" t="s">
        <v>206</v>
      </c>
      <c r="B91" s="6" t="s">
        <v>467</v>
      </c>
      <c r="C91" s="7" t="s">
        <v>186</v>
      </c>
      <c r="D91" s="7" t="s">
        <v>491</v>
      </c>
    </row>
    <row r="92" customFormat="false" ht="23.85" hidden="false" customHeight="false" outlineLevel="0" collapsed="false">
      <c r="A92" s="7" t="s">
        <v>206</v>
      </c>
      <c r="B92" s="6" t="s">
        <v>469</v>
      </c>
      <c r="C92" s="7" t="s">
        <v>186</v>
      </c>
      <c r="D92" s="7" t="s">
        <v>484</v>
      </c>
    </row>
    <row r="93" customFormat="false" ht="23.85" hidden="false" customHeight="false" outlineLevel="0" collapsed="false">
      <c r="A93" s="7" t="s">
        <v>208</v>
      </c>
      <c r="B93" s="6" t="s">
        <v>463</v>
      </c>
      <c r="C93" s="7" t="s">
        <v>193</v>
      </c>
      <c r="D93" s="7" t="s">
        <v>485</v>
      </c>
    </row>
    <row r="94" customFormat="false" ht="23.85" hidden="false" customHeight="false" outlineLevel="0" collapsed="false">
      <c r="A94" s="7" t="s">
        <v>208</v>
      </c>
      <c r="B94" s="6" t="s">
        <v>465</v>
      </c>
      <c r="C94" s="7" t="s">
        <v>194</v>
      </c>
      <c r="D94" s="7" t="s">
        <v>492</v>
      </c>
    </row>
    <row r="95" customFormat="false" ht="23.85" hidden="false" customHeight="false" outlineLevel="0" collapsed="false">
      <c r="A95" s="7" t="s">
        <v>208</v>
      </c>
      <c r="B95" s="6" t="s">
        <v>467</v>
      </c>
      <c r="C95" s="7" t="s">
        <v>186</v>
      </c>
      <c r="D95" s="7" t="s">
        <v>491</v>
      </c>
    </row>
    <row r="96" customFormat="false" ht="23.85" hidden="false" customHeight="false" outlineLevel="0" collapsed="false">
      <c r="A96" s="7" t="s">
        <v>208</v>
      </c>
      <c r="B96" s="6" t="s">
        <v>469</v>
      </c>
      <c r="C96" s="7" t="s">
        <v>186</v>
      </c>
      <c r="D96" s="7" t="s">
        <v>484</v>
      </c>
    </row>
    <row r="97" customFormat="false" ht="15" hidden="false" customHeight="false" outlineLevel="0" collapsed="false">
      <c r="A97" s="7" t="s">
        <v>210</v>
      </c>
      <c r="B97" s="6" t="s">
        <v>463</v>
      </c>
      <c r="C97" s="7" t="s">
        <v>211</v>
      </c>
      <c r="D97" s="7" t="s">
        <v>493</v>
      </c>
    </row>
    <row r="98" customFormat="false" ht="15" hidden="false" customHeight="false" outlineLevel="0" collapsed="false">
      <c r="A98" s="7" t="s">
        <v>210</v>
      </c>
      <c r="B98" s="6" t="s">
        <v>465</v>
      </c>
      <c r="C98" s="7" t="s">
        <v>212</v>
      </c>
      <c r="D98" s="7" t="s">
        <v>494</v>
      </c>
    </row>
    <row r="99" customFormat="false" ht="35.05" hidden="false" customHeight="false" outlineLevel="0" collapsed="false">
      <c r="A99" s="7" t="s">
        <v>210</v>
      </c>
      <c r="B99" s="6" t="s">
        <v>467</v>
      </c>
      <c r="C99" s="7" t="s">
        <v>213</v>
      </c>
      <c r="D99" s="7" t="s">
        <v>495</v>
      </c>
    </row>
    <row r="100" customFormat="false" ht="35.05" hidden="false" customHeight="false" outlineLevel="0" collapsed="false">
      <c r="A100" s="7" t="s">
        <v>210</v>
      </c>
      <c r="B100" s="6" t="s">
        <v>469</v>
      </c>
      <c r="C100" s="7" t="s">
        <v>213</v>
      </c>
      <c r="D100" s="7" t="s">
        <v>496</v>
      </c>
    </row>
    <row r="101" customFormat="false" ht="15" hidden="false" customHeight="false" outlineLevel="0" collapsed="false">
      <c r="A101" s="7" t="s">
        <v>216</v>
      </c>
      <c r="B101" s="6" t="s">
        <v>463</v>
      </c>
      <c r="C101" s="7" t="s">
        <v>211</v>
      </c>
      <c r="D101" s="7" t="s">
        <v>497</v>
      </c>
    </row>
    <row r="102" customFormat="false" ht="15" hidden="false" customHeight="false" outlineLevel="0" collapsed="false">
      <c r="A102" s="7" t="s">
        <v>216</v>
      </c>
      <c r="B102" s="6" t="s">
        <v>465</v>
      </c>
      <c r="C102" s="7" t="s">
        <v>212</v>
      </c>
      <c r="D102" s="7" t="s">
        <v>498</v>
      </c>
    </row>
    <row r="103" customFormat="false" ht="46.25" hidden="false" customHeight="false" outlineLevel="0" collapsed="false">
      <c r="A103" s="7" t="s">
        <v>216</v>
      </c>
      <c r="B103" s="6" t="s">
        <v>467</v>
      </c>
      <c r="C103" s="7" t="s">
        <v>213</v>
      </c>
      <c r="D103" s="7" t="s">
        <v>499</v>
      </c>
    </row>
    <row r="104" customFormat="false" ht="46.25" hidden="false" customHeight="false" outlineLevel="0" collapsed="false">
      <c r="A104" s="7" t="s">
        <v>216</v>
      </c>
      <c r="B104" s="6" t="s">
        <v>469</v>
      </c>
      <c r="C104" s="7" t="s">
        <v>213</v>
      </c>
      <c r="D104" s="7" t="s">
        <v>500</v>
      </c>
    </row>
    <row r="105" customFormat="false" ht="15" hidden="false" customHeight="false" outlineLevel="0" collapsed="false">
      <c r="A105" s="7" t="s">
        <v>218</v>
      </c>
      <c r="B105" s="6" t="s">
        <v>463</v>
      </c>
      <c r="C105" s="7" t="s">
        <v>211</v>
      </c>
      <c r="D105" s="7" t="s">
        <v>497</v>
      </c>
    </row>
    <row r="106" customFormat="false" ht="15" hidden="false" customHeight="false" outlineLevel="0" collapsed="false">
      <c r="A106" s="7" t="s">
        <v>218</v>
      </c>
      <c r="B106" s="6" t="s">
        <v>465</v>
      </c>
      <c r="C106" s="7" t="s">
        <v>212</v>
      </c>
      <c r="D106" s="7" t="s">
        <v>498</v>
      </c>
    </row>
    <row r="107" customFormat="false" ht="46.25" hidden="false" customHeight="false" outlineLevel="0" collapsed="false">
      <c r="A107" s="7" t="s">
        <v>218</v>
      </c>
      <c r="B107" s="6" t="s">
        <v>467</v>
      </c>
      <c r="C107" s="7" t="s">
        <v>213</v>
      </c>
      <c r="D107" s="7" t="s">
        <v>499</v>
      </c>
    </row>
    <row r="108" customFormat="false" ht="46.25" hidden="false" customHeight="false" outlineLevel="0" collapsed="false">
      <c r="A108" s="7" t="s">
        <v>218</v>
      </c>
      <c r="B108" s="6" t="s">
        <v>469</v>
      </c>
      <c r="C108" s="7" t="s">
        <v>213</v>
      </c>
      <c r="D108" s="7" t="s">
        <v>500</v>
      </c>
    </row>
    <row r="109" customFormat="false" ht="15" hidden="false" customHeight="false" outlineLevel="0" collapsed="false">
      <c r="A109" s="7" t="s">
        <v>220</v>
      </c>
      <c r="B109" s="6" t="s">
        <v>463</v>
      </c>
      <c r="C109" s="7" t="s">
        <v>211</v>
      </c>
      <c r="D109" s="7" t="s">
        <v>497</v>
      </c>
    </row>
    <row r="110" customFormat="false" ht="15" hidden="false" customHeight="false" outlineLevel="0" collapsed="false">
      <c r="A110" s="7" t="s">
        <v>220</v>
      </c>
      <c r="B110" s="6" t="s">
        <v>465</v>
      </c>
      <c r="C110" s="7" t="s">
        <v>212</v>
      </c>
      <c r="D110" s="7" t="s">
        <v>498</v>
      </c>
    </row>
    <row r="111" customFormat="false" ht="46.25" hidden="false" customHeight="false" outlineLevel="0" collapsed="false">
      <c r="A111" s="7" t="s">
        <v>220</v>
      </c>
      <c r="B111" s="6" t="s">
        <v>467</v>
      </c>
      <c r="C111" s="7" t="s">
        <v>213</v>
      </c>
      <c r="D111" s="7" t="s">
        <v>499</v>
      </c>
    </row>
    <row r="112" customFormat="false" ht="15" hidden="false" customHeight="false" outlineLevel="0" collapsed="false">
      <c r="A112" s="7" t="s">
        <v>220</v>
      </c>
      <c r="B112" s="6" t="s">
        <v>469</v>
      </c>
      <c r="C112" s="7" t="s">
        <v>201</v>
      </c>
      <c r="D112" s="7" t="s">
        <v>501</v>
      </c>
    </row>
    <row r="113" customFormat="false" ht="15" hidden="false" customHeight="false" outlineLevel="0" collapsed="false">
      <c r="A113" s="7" t="s">
        <v>222</v>
      </c>
      <c r="B113" s="6" t="s">
        <v>463</v>
      </c>
      <c r="C113" s="7" t="s">
        <v>223</v>
      </c>
      <c r="D113" s="7" t="s">
        <v>502</v>
      </c>
    </row>
    <row r="114" customFormat="false" ht="15" hidden="false" customHeight="false" outlineLevel="0" collapsed="false">
      <c r="A114" s="7" t="s">
        <v>222</v>
      </c>
      <c r="B114" s="6" t="s">
        <v>465</v>
      </c>
      <c r="C114" s="7" t="s">
        <v>224</v>
      </c>
      <c r="D114" s="7" t="s">
        <v>503</v>
      </c>
    </row>
    <row r="115" customFormat="false" ht="46.25" hidden="false" customHeight="false" outlineLevel="0" collapsed="false">
      <c r="A115" s="7" t="s">
        <v>222</v>
      </c>
      <c r="B115" s="6" t="s">
        <v>467</v>
      </c>
      <c r="C115" s="7" t="s">
        <v>213</v>
      </c>
      <c r="D115" s="7" t="s">
        <v>499</v>
      </c>
    </row>
    <row r="116" customFormat="false" ht="46.25" hidden="false" customHeight="false" outlineLevel="0" collapsed="false">
      <c r="A116" s="7" t="s">
        <v>222</v>
      </c>
      <c r="B116" s="6" t="s">
        <v>469</v>
      </c>
      <c r="C116" s="7" t="s">
        <v>213</v>
      </c>
      <c r="D116" s="7" t="s">
        <v>500</v>
      </c>
    </row>
    <row r="117" customFormat="false" ht="15" hidden="false" customHeight="false" outlineLevel="0" collapsed="false">
      <c r="A117" s="7" t="s">
        <v>226</v>
      </c>
      <c r="B117" s="6" t="s">
        <v>463</v>
      </c>
      <c r="C117" s="7" t="s">
        <v>223</v>
      </c>
      <c r="D117" s="7" t="s">
        <v>502</v>
      </c>
    </row>
    <row r="118" customFormat="false" ht="15" hidden="false" customHeight="false" outlineLevel="0" collapsed="false">
      <c r="A118" s="7" t="s">
        <v>226</v>
      </c>
      <c r="B118" s="6" t="s">
        <v>465</v>
      </c>
      <c r="C118" s="7" t="s">
        <v>224</v>
      </c>
      <c r="D118" s="7" t="s">
        <v>503</v>
      </c>
    </row>
    <row r="119" customFormat="false" ht="46.25" hidden="false" customHeight="false" outlineLevel="0" collapsed="false">
      <c r="A119" s="7" t="s">
        <v>226</v>
      </c>
      <c r="B119" s="6" t="s">
        <v>467</v>
      </c>
      <c r="C119" s="7" t="s">
        <v>213</v>
      </c>
      <c r="D119" s="7" t="s">
        <v>499</v>
      </c>
    </row>
    <row r="120" customFormat="false" ht="46.25" hidden="false" customHeight="false" outlineLevel="0" collapsed="false">
      <c r="A120" s="7" t="s">
        <v>226</v>
      </c>
      <c r="B120" s="6" t="s">
        <v>469</v>
      </c>
      <c r="C120" s="7" t="s">
        <v>213</v>
      </c>
      <c r="D120" s="7" t="s">
        <v>500</v>
      </c>
    </row>
    <row r="121" customFormat="false" ht="15" hidden="false" customHeight="false" outlineLevel="0" collapsed="false">
      <c r="A121" s="7" t="s">
        <v>228</v>
      </c>
      <c r="B121" s="6" t="s">
        <v>463</v>
      </c>
      <c r="C121" s="7" t="s">
        <v>229</v>
      </c>
      <c r="D121" s="7" t="s">
        <v>504</v>
      </c>
    </row>
    <row r="122" customFormat="false" ht="15" hidden="false" customHeight="false" outlineLevel="0" collapsed="false">
      <c r="A122" s="7" t="s">
        <v>228</v>
      </c>
      <c r="B122" s="6" t="s">
        <v>465</v>
      </c>
      <c r="C122" s="7" t="s">
        <v>230</v>
      </c>
      <c r="D122" s="7" t="s">
        <v>505</v>
      </c>
    </row>
    <row r="123" customFormat="false" ht="23.85" hidden="false" customHeight="false" outlineLevel="0" collapsed="false">
      <c r="A123" s="7" t="s">
        <v>228</v>
      </c>
      <c r="B123" s="6" t="s">
        <v>467</v>
      </c>
      <c r="C123" s="7" t="s">
        <v>231</v>
      </c>
      <c r="D123" s="7" t="s">
        <v>491</v>
      </c>
    </row>
    <row r="124" customFormat="false" ht="23.85" hidden="false" customHeight="false" outlineLevel="0" collapsed="false">
      <c r="A124" s="7" t="s">
        <v>228</v>
      </c>
      <c r="B124" s="6" t="s">
        <v>469</v>
      </c>
      <c r="C124" s="7" t="s">
        <v>231</v>
      </c>
      <c r="D124" s="7" t="s">
        <v>484</v>
      </c>
    </row>
    <row r="125" customFormat="false" ht="15" hidden="false" customHeight="false" outlineLevel="0" collapsed="false">
      <c r="A125" s="7" t="s">
        <v>234</v>
      </c>
      <c r="B125" s="6" t="s">
        <v>463</v>
      </c>
      <c r="C125" s="7" t="s">
        <v>235</v>
      </c>
      <c r="D125" s="7" t="s">
        <v>506</v>
      </c>
    </row>
    <row r="126" customFormat="false" ht="15" hidden="false" customHeight="false" outlineLevel="0" collapsed="false">
      <c r="A126" s="7" t="s">
        <v>234</v>
      </c>
      <c r="B126" s="6" t="s">
        <v>465</v>
      </c>
      <c r="C126" s="7" t="s">
        <v>236</v>
      </c>
      <c r="D126" s="7" t="s">
        <v>507</v>
      </c>
    </row>
    <row r="127" customFormat="false" ht="68.65" hidden="false" customHeight="false" outlineLevel="0" collapsed="false">
      <c r="A127" s="7" t="s">
        <v>234</v>
      </c>
      <c r="B127" s="6" t="s">
        <v>467</v>
      </c>
      <c r="C127" s="7" t="s">
        <v>149</v>
      </c>
      <c r="D127" s="7" t="s">
        <v>474</v>
      </c>
    </row>
    <row r="128" customFormat="false" ht="68.65" hidden="false" customHeight="false" outlineLevel="0" collapsed="false">
      <c r="A128" s="7" t="s">
        <v>234</v>
      </c>
      <c r="B128" s="6" t="s">
        <v>469</v>
      </c>
      <c r="C128" s="7" t="s">
        <v>149</v>
      </c>
      <c r="D128" s="7" t="s">
        <v>475</v>
      </c>
    </row>
    <row r="129" customFormat="false" ht="15" hidden="false" customHeight="false" outlineLevel="0" collapsed="false">
      <c r="A129" s="7" t="s">
        <v>238</v>
      </c>
      <c r="B129" s="6" t="s">
        <v>463</v>
      </c>
      <c r="C129" s="7" t="s">
        <v>240</v>
      </c>
      <c r="D129" s="7" t="s">
        <v>508</v>
      </c>
    </row>
    <row r="130" customFormat="false" ht="15" hidden="false" customHeight="false" outlineLevel="0" collapsed="false">
      <c r="A130" s="7" t="s">
        <v>238</v>
      </c>
      <c r="B130" s="6" t="s">
        <v>465</v>
      </c>
      <c r="C130" s="7" t="s">
        <v>241</v>
      </c>
      <c r="D130" s="7" t="s">
        <v>509</v>
      </c>
    </row>
    <row r="131" customFormat="false" ht="15" hidden="false" customHeight="false" outlineLevel="0" collapsed="false">
      <c r="A131" s="7" t="s">
        <v>238</v>
      </c>
      <c r="B131" s="6" t="s">
        <v>467</v>
      </c>
      <c r="C131" s="7" t="s">
        <v>242</v>
      </c>
      <c r="D131" s="7" t="s">
        <v>510</v>
      </c>
    </row>
    <row r="132" customFormat="false" ht="15" hidden="false" customHeight="false" outlineLevel="0" collapsed="false">
      <c r="A132" s="7" t="s">
        <v>238</v>
      </c>
      <c r="B132" s="6" t="s">
        <v>469</v>
      </c>
      <c r="C132" s="7" t="s">
        <v>243</v>
      </c>
      <c r="D132" s="7" t="s">
        <v>511</v>
      </c>
    </row>
    <row r="133" customFormat="false" ht="15" hidden="false" customHeight="false" outlineLevel="0" collapsed="false">
      <c r="A133" s="7" t="s">
        <v>246</v>
      </c>
      <c r="B133" s="6" t="s">
        <v>463</v>
      </c>
      <c r="C133" s="7" t="s">
        <v>240</v>
      </c>
      <c r="D133" s="7" t="s">
        <v>508</v>
      </c>
    </row>
    <row r="134" customFormat="false" ht="15" hidden="false" customHeight="false" outlineLevel="0" collapsed="false">
      <c r="A134" s="7" t="s">
        <v>246</v>
      </c>
      <c r="B134" s="6" t="s">
        <v>465</v>
      </c>
      <c r="C134" s="7" t="s">
        <v>241</v>
      </c>
      <c r="D134" s="7" t="s">
        <v>509</v>
      </c>
    </row>
    <row r="135" customFormat="false" ht="15" hidden="false" customHeight="false" outlineLevel="0" collapsed="false">
      <c r="A135" s="7" t="s">
        <v>246</v>
      </c>
      <c r="B135" s="6" t="s">
        <v>467</v>
      </c>
      <c r="C135" s="7" t="s">
        <v>242</v>
      </c>
      <c r="D135" s="7" t="s">
        <v>510</v>
      </c>
    </row>
    <row r="136" customFormat="false" ht="15" hidden="false" customHeight="false" outlineLevel="0" collapsed="false">
      <c r="A136" s="7" t="s">
        <v>246</v>
      </c>
      <c r="B136" s="6" t="s">
        <v>469</v>
      </c>
      <c r="C136" s="7" t="s">
        <v>243</v>
      </c>
      <c r="D136" s="7" t="s">
        <v>511</v>
      </c>
    </row>
    <row r="137" customFormat="false" ht="15" hidden="false" customHeight="false" outlineLevel="0" collapsed="false">
      <c r="A137" s="7" t="s">
        <v>249</v>
      </c>
      <c r="B137" s="6" t="s">
        <v>463</v>
      </c>
      <c r="C137" s="7" t="s">
        <v>240</v>
      </c>
      <c r="D137" s="7" t="s">
        <v>508</v>
      </c>
    </row>
    <row r="138" customFormat="false" ht="15" hidden="false" customHeight="false" outlineLevel="0" collapsed="false">
      <c r="A138" s="7" t="s">
        <v>249</v>
      </c>
      <c r="B138" s="6" t="s">
        <v>465</v>
      </c>
      <c r="C138" s="7" t="s">
        <v>242</v>
      </c>
      <c r="D138" s="7" t="s">
        <v>512</v>
      </c>
    </row>
    <row r="139" customFormat="false" ht="15" hidden="false" customHeight="false" outlineLevel="0" collapsed="false">
      <c r="A139" s="7" t="s">
        <v>249</v>
      </c>
      <c r="B139" s="6" t="s">
        <v>467</v>
      </c>
      <c r="C139" s="7" t="s">
        <v>243</v>
      </c>
      <c r="D139" s="7" t="s">
        <v>511</v>
      </c>
    </row>
    <row r="140" customFormat="false" ht="15" hidden="false" customHeight="false" outlineLevel="0" collapsed="false">
      <c r="A140" s="7" t="s">
        <v>249</v>
      </c>
      <c r="B140" s="6" t="s">
        <v>469</v>
      </c>
      <c r="C140" s="7" t="s">
        <v>243</v>
      </c>
      <c r="D140" s="7" t="s">
        <v>511</v>
      </c>
    </row>
    <row r="141" customFormat="false" ht="15" hidden="false" customHeight="false" outlineLevel="0" collapsed="false">
      <c r="A141" s="7" t="s">
        <v>253</v>
      </c>
      <c r="B141" s="6" t="s">
        <v>463</v>
      </c>
      <c r="C141" s="7" t="s">
        <v>241</v>
      </c>
      <c r="D141" s="7" t="s">
        <v>513</v>
      </c>
    </row>
    <row r="142" customFormat="false" ht="15" hidden="false" customHeight="false" outlineLevel="0" collapsed="false">
      <c r="A142" s="7" t="s">
        <v>253</v>
      </c>
      <c r="B142" s="6" t="s">
        <v>465</v>
      </c>
      <c r="C142" s="7" t="s">
        <v>241</v>
      </c>
      <c r="D142" s="7" t="s">
        <v>509</v>
      </c>
    </row>
    <row r="143" customFormat="false" ht="15" hidden="false" customHeight="false" outlineLevel="0" collapsed="false">
      <c r="A143" s="7" t="s">
        <v>253</v>
      </c>
      <c r="B143" s="6" t="s">
        <v>467</v>
      </c>
      <c r="C143" s="7" t="s">
        <v>241</v>
      </c>
      <c r="D143" s="7" t="s">
        <v>514</v>
      </c>
    </row>
    <row r="144" customFormat="false" ht="15" hidden="false" customHeight="false" outlineLevel="0" collapsed="false">
      <c r="A144" s="7" t="s">
        <v>253</v>
      </c>
      <c r="B144" s="6" t="s">
        <v>469</v>
      </c>
      <c r="C144" s="7" t="s">
        <v>241</v>
      </c>
      <c r="D144" s="7" t="s">
        <v>515</v>
      </c>
    </row>
    <row r="145" customFormat="false" ht="15" hidden="false" customHeight="false" outlineLevel="0" collapsed="false">
      <c r="A145" s="7" t="s">
        <v>239</v>
      </c>
      <c r="B145" s="6" t="s">
        <v>463</v>
      </c>
      <c r="C145" s="7" t="s">
        <v>240</v>
      </c>
      <c r="D145" s="7" t="s">
        <v>516</v>
      </c>
    </row>
    <row r="146" customFormat="false" ht="15" hidden="false" customHeight="false" outlineLevel="0" collapsed="false">
      <c r="A146" s="7" t="s">
        <v>239</v>
      </c>
      <c r="B146" s="6" t="s">
        <v>465</v>
      </c>
      <c r="C146" s="7" t="s">
        <v>241</v>
      </c>
      <c r="D146" s="7" t="s">
        <v>517</v>
      </c>
    </row>
    <row r="147" customFormat="false" ht="15" hidden="false" customHeight="false" outlineLevel="0" collapsed="false">
      <c r="A147" s="7" t="s">
        <v>239</v>
      </c>
      <c r="B147" s="6" t="s">
        <v>467</v>
      </c>
      <c r="C147" s="7" t="s">
        <v>242</v>
      </c>
      <c r="D147" s="7" t="s">
        <v>518</v>
      </c>
    </row>
    <row r="148" customFormat="false" ht="23.85" hidden="false" customHeight="false" outlineLevel="0" collapsed="false">
      <c r="A148" s="7" t="s">
        <v>239</v>
      </c>
      <c r="B148" s="6" t="s">
        <v>469</v>
      </c>
      <c r="C148" s="7" t="s">
        <v>243</v>
      </c>
      <c r="D148" s="7" t="s">
        <v>484</v>
      </c>
    </row>
    <row r="149" customFormat="false" ht="15" hidden="false" customHeight="false" outlineLevel="0" collapsed="false">
      <c r="A149" s="7" t="s">
        <v>247</v>
      </c>
      <c r="B149" s="6" t="s">
        <v>463</v>
      </c>
      <c r="C149" s="7" t="s">
        <v>240</v>
      </c>
      <c r="D149" s="7" t="s">
        <v>516</v>
      </c>
    </row>
    <row r="150" customFormat="false" ht="15" hidden="false" customHeight="false" outlineLevel="0" collapsed="false">
      <c r="A150" s="7" t="s">
        <v>247</v>
      </c>
      <c r="B150" s="6" t="s">
        <v>465</v>
      </c>
      <c r="C150" s="7" t="s">
        <v>241</v>
      </c>
      <c r="D150" s="7" t="s">
        <v>517</v>
      </c>
    </row>
    <row r="151" customFormat="false" ht="15" hidden="false" customHeight="false" outlineLevel="0" collapsed="false">
      <c r="A151" s="7" t="s">
        <v>247</v>
      </c>
      <c r="B151" s="6" t="s">
        <v>467</v>
      </c>
      <c r="C151" s="7" t="s">
        <v>242</v>
      </c>
      <c r="D151" s="7" t="s">
        <v>518</v>
      </c>
    </row>
    <row r="152" customFormat="false" ht="23.85" hidden="false" customHeight="false" outlineLevel="0" collapsed="false">
      <c r="A152" s="7" t="s">
        <v>247</v>
      </c>
      <c r="B152" s="6" t="s">
        <v>469</v>
      </c>
      <c r="C152" s="7" t="s">
        <v>243</v>
      </c>
      <c r="D152" s="7" t="s">
        <v>484</v>
      </c>
    </row>
    <row r="153" customFormat="false" ht="15" hidden="false" customHeight="false" outlineLevel="0" collapsed="false">
      <c r="A153" s="7" t="s">
        <v>258</v>
      </c>
      <c r="B153" s="6" t="s">
        <v>463</v>
      </c>
      <c r="C153" s="7" t="s">
        <v>240</v>
      </c>
      <c r="D153" s="7" t="s">
        <v>516</v>
      </c>
    </row>
    <row r="154" customFormat="false" ht="15" hidden="false" customHeight="false" outlineLevel="0" collapsed="false">
      <c r="A154" s="7" t="s">
        <v>258</v>
      </c>
      <c r="B154" s="6" t="s">
        <v>465</v>
      </c>
      <c r="C154" s="7" t="s">
        <v>241</v>
      </c>
      <c r="D154" s="7" t="s">
        <v>517</v>
      </c>
    </row>
    <row r="155" customFormat="false" ht="15" hidden="false" customHeight="false" outlineLevel="0" collapsed="false">
      <c r="A155" s="7" t="s">
        <v>258</v>
      </c>
      <c r="B155" s="6" t="s">
        <v>467</v>
      </c>
      <c r="C155" s="7" t="s">
        <v>242</v>
      </c>
      <c r="D155" s="7" t="s">
        <v>518</v>
      </c>
    </row>
    <row r="156" customFormat="false" ht="15" hidden="false" customHeight="false" outlineLevel="0" collapsed="false">
      <c r="A156" s="7" t="s">
        <v>258</v>
      </c>
      <c r="B156" s="6" t="s">
        <v>469</v>
      </c>
      <c r="C156" s="7" t="s">
        <v>201</v>
      </c>
      <c r="D156" s="7" t="s">
        <v>501</v>
      </c>
    </row>
    <row r="157" customFormat="false" ht="15" hidden="false" customHeight="false" outlineLevel="0" collapsed="false">
      <c r="A157" s="7" t="s">
        <v>260</v>
      </c>
      <c r="B157" s="6" t="s">
        <v>463</v>
      </c>
      <c r="C157" s="7" t="s">
        <v>240</v>
      </c>
      <c r="D157" s="7" t="s">
        <v>516</v>
      </c>
    </row>
    <row r="158" customFormat="false" ht="15" hidden="false" customHeight="false" outlineLevel="0" collapsed="false">
      <c r="A158" s="7" t="s">
        <v>260</v>
      </c>
      <c r="B158" s="6" t="s">
        <v>465</v>
      </c>
      <c r="C158" s="7" t="s">
        <v>241</v>
      </c>
      <c r="D158" s="7" t="s">
        <v>517</v>
      </c>
    </row>
    <row r="159" customFormat="false" ht="15" hidden="false" customHeight="false" outlineLevel="0" collapsed="false">
      <c r="A159" s="7" t="s">
        <v>260</v>
      </c>
      <c r="B159" s="6" t="s">
        <v>467</v>
      </c>
      <c r="C159" s="7" t="s">
        <v>242</v>
      </c>
      <c r="D159" s="7" t="s">
        <v>518</v>
      </c>
    </row>
    <row r="160" customFormat="false" ht="15" hidden="false" customHeight="false" outlineLevel="0" collapsed="false">
      <c r="A160" s="7" t="s">
        <v>260</v>
      </c>
      <c r="B160" s="6" t="s">
        <v>469</v>
      </c>
      <c r="C160" s="7" t="s">
        <v>201</v>
      </c>
      <c r="D160" s="7" t="s">
        <v>501</v>
      </c>
    </row>
    <row r="161" customFormat="false" ht="15" hidden="false" customHeight="false" outlineLevel="0" collapsed="false">
      <c r="A161" s="7" t="s">
        <v>250</v>
      </c>
      <c r="B161" s="6" t="s">
        <v>463</v>
      </c>
      <c r="C161" s="7" t="s">
        <v>240</v>
      </c>
      <c r="D161" s="7" t="s">
        <v>516</v>
      </c>
    </row>
    <row r="162" customFormat="false" ht="15" hidden="false" customHeight="false" outlineLevel="0" collapsed="false">
      <c r="A162" s="7" t="s">
        <v>250</v>
      </c>
      <c r="B162" s="6" t="s">
        <v>465</v>
      </c>
      <c r="C162" s="7" t="s">
        <v>242</v>
      </c>
      <c r="D162" s="7" t="s">
        <v>519</v>
      </c>
    </row>
    <row r="163" customFormat="false" ht="23.85" hidden="false" customHeight="false" outlineLevel="0" collapsed="false">
      <c r="A163" s="7" t="s">
        <v>250</v>
      </c>
      <c r="B163" s="6" t="s">
        <v>467</v>
      </c>
      <c r="C163" s="7" t="s">
        <v>243</v>
      </c>
      <c r="D163" s="7" t="s">
        <v>491</v>
      </c>
    </row>
    <row r="164" customFormat="false" ht="23.85" hidden="false" customHeight="false" outlineLevel="0" collapsed="false">
      <c r="A164" s="7" t="s">
        <v>250</v>
      </c>
      <c r="B164" s="6" t="s">
        <v>469</v>
      </c>
      <c r="C164" s="7" t="s">
        <v>243</v>
      </c>
      <c r="D164" s="7" t="s">
        <v>484</v>
      </c>
    </row>
    <row r="165" customFormat="false" ht="15" hidden="false" customHeight="false" outlineLevel="0" collapsed="false">
      <c r="A165" s="7" t="s">
        <v>263</v>
      </c>
      <c r="B165" s="6" t="s">
        <v>463</v>
      </c>
      <c r="C165" s="7" t="s">
        <v>241</v>
      </c>
      <c r="D165" s="7" t="s">
        <v>520</v>
      </c>
    </row>
    <row r="166" customFormat="false" ht="15" hidden="false" customHeight="false" outlineLevel="0" collapsed="false">
      <c r="A166" s="7" t="s">
        <v>263</v>
      </c>
      <c r="B166" s="6" t="s">
        <v>465</v>
      </c>
      <c r="C166" s="7" t="s">
        <v>241</v>
      </c>
      <c r="D166" s="7" t="s">
        <v>517</v>
      </c>
    </row>
    <row r="167" customFormat="false" ht="15" hidden="false" customHeight="false" outlineLevel="0" collapsed="false">
      <c r="A167" s="7" t="s">
        <v>263</v>
      </c>
      <c r="B167" s="6" t="s">
        <v>467</v>
      </c>
      <c r="C167" s="7" t="s">
        <v>241</v>
      </c>
      <c r="D167" s="7" t="s">
        <v>521</v>
      </c>
    </row>
    <row r="168" customFormat="false" ht="15" hidden="false" customHeight="false" outlineLevel="0" collapsed="false">
      <c r="A168" s="7" t="s">
        <v>263</v>
      </c>
      <c r="B168" s="6" t="s">
        <v>469</v>
      </c>
      <c r="C168" s="7" t="s">
        <v>241</v>
      </c>
      <c r="D168" s="7" t="s">
        <v>522</v>
      </c>
    </row>
    <row r="169" customFormat="false" ht="15" hidden="false" customHeight="false" outlineLevel="0" collapsed="false">
      <c r="A169" s="7" t="s">
        <v>265</v>
      </c>
      <c r="B169" s="6" t="s">
        <v>463</v>
      </c>
      <c r="C169" s="7" t="s">
        <v>267</v>
      </c>
      <c r="D169" s="7" t="s">
        <v>523</v>
      </c>
    </row>
    <row r="170" customFormat="false" ht="15" hidden="false" customHeight="false" outlineLevel="0" collapsed="false">
      <c r="A170" s="7" t="s">
        <v>265</v>
      </c>
      <c r="B170" s="6" t="s">
        <v>465</v>
      </c>
      <c r="C170" s="7" t="s">
        <v>241</v>
      </c>
      <c r="D170" s="7" t="s">
        <v>517</v>
      </c>
    </row>
    <row r="171" customFormat="false" ht="15" hidden="false" customHeight="false" outlineLevel="0" collapsed="false">
      <c r="A171" s="7" t="s">
        <v>265</v>
      </c>
      <c r="B171" s="6" t="s">
        <v>467</v>
      </c>
      <c r="C171" s="7" t="s">
        <v>268</v>
      </c>
      <c r="D171" s="7" t="s">
        <v>524</v>
      </c>
    </row>
    <row r="172" customFormat="false" ht="23.85" hidden="false" customHeight="false" outlineLevel="0" collapsed="false">
      <c r="A172" s="7" t="s">
        <v>265</v>
      </c>
      <c r="B172" s="6" t="s">
        <v>469</v>
      </c>
      <c r="C172" s="7" t="s">
        <v>231</v>
      </c>
      <c r="D172" s="7" t="s">
        <v>484</v>
      </c>
    </row>
    <row r="173" customFormat="false" ht="15" hidden="false" customHeight="false" outlineLevel="0" collapsed="false">
      <c r="A173" s="7" t="s">
        <v>271</v>
      </c>
      <c r="B173" s="6" t="s">
        <v>463</v>
      </c>
      <c r="C173" s="7" t="s">
        <v>267</v>
      </c>
      <c r="D173" s="7" t="s">
        <v>523</v>
      </c>
    </row>
    <row r="174" customFormat="false" ht="15" hidden="false" customHeight="false" outlineLevel="0" collapsed="false">
      <c r="A174" s="7" t="s">
        <v>271</v>
      </c>
      <c r="B174" s="6" t="s">
        <v>465</v>
      </c>
      <c r="C174" s="7" t="s">
        <v>268</v>
      </c>
      <c r="D174" s="7" t="s">
        <v>525</v>
      </c>
    </row>
    <row r="175" customFormat="false" ht="23.85" hidden="false" customHeight="false" outlineLevel="0" collapsed="false">
      <c r="A175" s="7" t="s">
        <v>271</v>
      </c>
      <c r="B175" s="6" t="s">
        <v>467</v>
      </c>
      <c r="C175" s="7" t="s">
        <v>231</v>
      </c>
      <c r="D175" s="7" t="s">
        <v>491</v>
      </c>
    </row>
    <row r="176" customFormat="false" ht="23.85" hidden="false" customHeight="false" outlineLevel="0" collapsed="false">
      <c r="A176" s="7" t="s">
        <v>271</v>
      </c>
      <c r="B176" s="6" t="s">
        <v>469</v>
      </c>
      <c r="C176" s="7" t="s">
        <v>231</v>
      </c>
      <c r="D176" s="7" t="s">
        <v>484</v>
      </c>
    </row>
    <row r="177" customFormat="false" ht="15" hidden="false" customHeight="false" outlineLevel="0" collapsed="false">
      <c r="A177" s="7" t="s">
        <v>274</v>
      </c>
      <c r="B177" s="6" t="s">
        <v>463</v>
      </c>
      <c r="C177" s="7" t="s">
        <v>275</v>
      </c>
      <c r="D177" s="7" t="s">
        <v>526</v>
      </c>
    </row>
    <row r="178" customFormat="false" ht="15" hidden="false" customHeight="false" outlineLevel="0" collapsed="false">
      <c r="A178" s="7" t="s">
        <v>274</v>
      </c>
      <c r="B178" s="6" t="s">
        <v>465</v>
      </c>
      <c r="C178" s="7" t="s">
        <v>276</v>
      </c>
      <c r="D178" s="7" t="s">
        <v>527</v>
      </c>
    </row>
    <row r="179" customFormat="false" ht="15" hidden="false" customHeight="false" outlineLevel="0" collapsed="false">
      <c r="A179" s="7" t="s">
        <v>274</v>
      </c>
      <c r="B179" s="6" t="s">
        <v>467</v>
      </c>
      <c r="C179" s="7" t="s">
        <v>277</v>
      </c>
      <c r="D179" s="7" t="s">
        <v>528</v>
      </c>
    </row>
    <row r="180" customFormat="false" ht="68.65" hidden="false" customHeight="false" outlineLevel="0" collapsed="false">
      <c r="A180" s="7" t="s">
        <v>274</v>
      </c>
      <c r="B180" s="6" t="s">
        <v>469</v>
      </c>
      <c r="C180" s="7" t="s">
        <v>149</v>
      </c>
      <c r="D180" s="7" t="s">
        <v>475</v>
      </c>
    </row>
    <row r="181" customFormat="false" ht="15" hidden="false" customHeight="false" outlineLevel="0" collapsed="false">
      <c r="A181" s="7" t="s">
        <v>279</v>
      </c>
      <c r="B181" s="6" t="s">
        <v>463</v>
      </c>
      <c r="C181" s="7" t="s">
        <v>275</v>
      </c>
      <c r="D181" s="7" t="s">
        <v>526</v>
      </c>
    </row>
    <row r="182" customFormat="false" ht="15" hidden="false" customHeight="false" outlineLevel="0" collapsed="false">
      <c r="A182" s="7" t="s">
        <v>279</v>
      </c>
      <c r="B182" s="6" t="s">
        <v>465</v>
      </c>
      <c r="C182" s="7" t="s">
        <v>277</v>
      </c>
      <c r="D182" s="7" t="s">
        <v>529</v>
      </c>
    </row>
    <row r="183" customFormat="false" ht="68.65" hidden="false" customHeight="false" outlineLevel="0" collapsed="false">
      <c r="A183" s="7" t="s">
        <v>279</v>
      </c>
      <c r="B183" s="6" t="s">
        <v>467</v>
      </c>
      <c r="C183" s="7" t="s">
        <v>149</v>
      </c>
      <c r="D183" s="7" t="s">
        <v>474</v>
      </c>
    </row>
    <row r="184" customFormat="false" ht="68.65" hidden="false" customHeight="false" outlineLevel="0" collapsed="false">
      <c r="A184" s="7" t="s">
        <v>279</v>
      </c>
      <c r="B184" s="6" t="s">
        <v>469</v>
      </c>
      <c r="C184" s="7" t="s">
        <v>149</v>
      </c>
      <c r="D184" s="7" t="s">
        <v>475</v>
      </c>
    </row>
    <row r="185" customFormat="false" ht="15" hidden="false" customHeight="false" outlineLevel="0" collapsed="false">
      <c r="A185" s="7" t="s">
        <v>281</v>
      </c>
      <c r="B185" s="6" t="s">
        <v>463</v>
      </c>
      <c r="C185" s="7" t="s">
        <v>276</v>
      </c>
      <c r="D185" s="7" t="s">
        <v>530</v>
      </c>
    </row>
    <row r="186" customFormat="false" ht="15" hidden="false" customHeight="false" outlineLevel="0" collapsed="false">
      <c r="A186" s="7" t="s">
        <v>281</v>
      </c>
      <c r="B186" s="6" t="s">
        <v>465</v>
      </c>
      <c r="C186" s="7" t="s">
        <v>276</v>
      </c>
      <c r="D186" s="7" t="s">
        <v>527</v>
      </c>
    </row>
    <row r="187" customFormat="false" ht="15" hidden="false" customHeight="false" outlineLevel="0" collapsed="false">
      <c r="A187" s="7" t="s">
        <v>281</v>
      </c>
      <c r="B187" s="6" t="s">
        <v>467</v>
      </c>
      <c r="C187" s="7" t="s">
        <v>276</v>
      </c>
      <c r="D187" s="7" t="s">
        <v>531</v>
      </c>
    </row>
    <row r="188" customFormat="false" ht="15" hidden="false" customHeight="false" outlineLevel="0" collapsed="false">
      <c r="A188" s="7" t="s">
        <v>281</v>
      </c>
      <c r="B188" s="6" t="s">
        <v>469</v>
      </c>
      <c r="C188" s="7" t="s">
        <v>276</v>
      </c>
      <c r="D188" s="7" t="s">
        <v>532</v>
      </c>
    </row>
    <row r="189" customFormat="false" ht="15" hidden="false" customHeight="false" outlineLevel="0" collapsed="false">
      <c r="A189" s="7" t="s">
        <v>283</v>
      </c>
      <c r="B189" s="6" t="s">
        <v>463</v>
      </c>
      <c r="C189" s="7" t="s">
        <v>276</v>
      </c>
      <c r="D189" s="7" t="s">
        <v>530</v>
      </c>
    </row>
    <row r="190" customFormat="false" ht="15" hidden="false" customHeight="false" outlineLevel="0" collapsed="false">
      <c r="A190" s="7" t="s">
        <v>283</v>
      </c>
      <c r="B190" s="6" t="s">
        <v>465</v>
      </c>
      <c r="C190" s="7" t="s">
        <v>276</v>
      </c>
      <c r="D190" s="7" t="s">
        <v>527</v>
      </c>
    </row>
    <row r="191" customFormat="false" ht="15" hidden="false" customHeight="false" outlineLevel="0" collapsed="false">
      <c r="A191" s="7" t="s">
        <v>283</v>
      </c>
      <c r="B191" s="6" t="s">
        <v>467</v>
      </c>
      <c r="C191" s="7" t="s">
        <v>276</v>
      </c>
      <c r="D191" s="7" t="s">
        <v>531</v>
      </c>
    </row>
    <row r="192" customFormat="false" ht="15" hidden="false" customHeight="false" outlineLevel="0" collapsed="false">
      <c r="A192" s="7" t="s">
        <v>283</v>
      </c>
      <c r="B192" s="6" t="s">
        <v>469</v>
      </c>
      <c r="C192" s="7" t="s">
        <v>276</v>
      </c>
      <c r="D192" s="7" t="s">
        <v>532</v>
      </c>
    </row>
    <row r="193" customFormat="false" ht="15" hidden="false" customHeight="false" outlineLevel="0" collapsed="false">
      <c r="A193" s="7" t="s">
        <v>286</v>
      </c>
      <c r="B193" s="6" t="s">
        <v>463</v>
      </c>
      <c r="C193" s="7" t="s">
        <v>287</v>
      </c>
      <c r="D193" s="7" t="s">
        <v>533</v>
      </c>
    </row>
    <row r="194" customFormat="false" ht="57.45" hidden="false" customHeight="false" outlineLevel="0" collapsed="false">
      <c r="A194" s="7" t="s">
        <v>286</v>
      </c>
      <c r="B194" s="6" t="s">
        <v>465</v>
      </c>
      <c r="C194" s="7" t="s">
        <v>149</v>
      </c>
      <c r="D194" s="7" t="s">
        <v>473</v>
      </c>
    </row>
    <row r="195" customFormat="false" ht="15" hidden="false" customHeight="false" outlineLevel="0" collapsed="false">
      <c r="A195" s="7" t="s">
        <v>286</v>
      </c>
      <c r="B195" s="6" t="s">
        <v>467</v>
      </c>
      <c r="C195" s="7" t="s">
        <v>288</v>
      </c>
      <c r="D195" s="7" t="s">
        <v>534</v>
      </c>
    </row>
    <row r="196" customFormat="false" ht="68.65" hidden="false" customHeight="false" outlineLevel="0" collapsed="false">
      <c r="A196" s="7" t="s">
        <v>286</v>
      </c>
      <c r="B196" s="6" t="s">
        <v>469</v>
      </c>
      <c r="C196" s="7" t="s">
        <v>149</v>
      </c>
      <c r="D196" s="7" t="s">
        <v>475</v>
      </c>
    </row>
    <row r="197" customFormat="false" ht="15" hidden="false" customHeight="false" outlineLevel="0" collapsed="false">
      <c r="A197" s="7" t="s">
        <v>290</v>
      </c>
      <c r="B197" s="6" t="s">
        <v>463</v>
      </c>
      <c r="C197" s="7" t="s">
        <v>291</v>
      </c>
      <c r="D197" s="7" t="s">
        <v>535</v>
      </c>
    </row>
    <row r="198" customFormat="false" ht="57.45" hidden="false" customHeight="false" outlineLevel="0" collapsed="false">
      <c r="A198" s="7" t="s">
        <v>290</v>
      </c>
      <c r="B198" s="6" t="s">
        <v>465</v>
      </c>
      <c r="C198" s="7" t="s">
        <v>149</v>
      </c>
      <c r="D198" s="7" t="s">
        <v>473</v>
      </c>
    </row>
    <row r="199" customFormat="false" ht="15" hidden="false" customHeight="false" outlineLevel="0" collapsed="false">
      <c r="A199" s="7" t="s">
        <v>290</v>
      </c>
      <c r="B199" s="6" t="s">
        <v>467</v>
      </c>
      <c r="C199" s="7" t="s">
        <v>292</v>
      </c>
      <c r="D199" s="7" t="s">
        <v>536</v>
      </c>
    </row>
    <row r="200" customFormat="false" ht="68.65" hidden="false" customHeight="false" outlineLevel="0" collapsed="false">
      <c r="A200" s="7" t="s">
        <v>290</v>
      </c>
      <c r="B200" s="6" t="s">
        <v>469</v>
      </c>
      <c r="C200" s="7" t="s">
        <v>149</v>
      </c>
      <c r="D200" s="7" t="s">
        <v>475</v>
      </c>
    </row>
    <row r="201" customFormat="false" ht="15" hidden="false" customHeight="false" outlineLevel="0" collapsed="false">
      <c r="A201" s="7" t="s">
        <v>294</v>
      </c>
      <c r="B201" s="6" t="s">
        <v>463</v>
      </c>
      <c r="C201" s="7" t="s">
        <v>288</v>
      </c>
      <c r="D201" s="7" t="s">
        <v>537</v>
      </c>
    </row>
    <row r="202" customFormat="false" ht="57.45" hidden="false" customHeight="false" outlineLevel="0" collapsed="false">
      <c r="A202" s="7" t="s">
        <v>294</v>
      </c>
      <c r="B202" s="6" t="s">
        <v>465</v>
      </c>
      <c r="C202" s="7" t="s">
        <v>149</v>
      </c>
      <c r="D202" s="7" t="s">
        <v>473</v>
      </c>
    </row>
    <row r="203" customFormat="false" ht="15" hidden="false" customHeight="false" outlineLevel="0" collapsed="false">
      <c r="A203" s="7" t="s">
        <v>294</v>
      </c>
      <c r="B203" s="6" t="s">
        <v>467</v>
      </c>
      <c r="C203" s="7" t="s">
        <v>295</v>
      </c>
      <c r="D203" s="7" t="s">
        <v>533</v>
      </c>
    </row>
    <row r="204" customFormat="false" ht="68.65" hidden="false" customHeight="false" outlineLevel="0" collapsed="false">
      <c r="A204" s="7" t="s">
        <v>294</v>
      </c>
      <c r="B204" s="6" t="s">
        <v>469</v>
      </c>
      <c r="C204" s="7" t="s">
        <v>149</v>
      </c>
      <c r="D204" s="7" t="s">
        <v>475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6"/>
    <col collapsed="false" customWidth="true" hidden="false" outlineLevel="0" max="5" min="3" style="0" width="9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538</v>
      </c>
    </row>
    <row r="2" customFormat="false" ht="15" hidden="false" customHeight="false" outlineLevel="0" collapsed="false">
      <c r="A2" s="2" t="s">
        <v>539</v>
      </c>
    </row>
    <row r="4" customFormat="false" ht="23.85" hidden="false" customHeight="false" outlineLevel="0" collapsed="false">
      <c r="A4" s="4" t="s">
        <v>133</v>
      </c>
      <c r="B4" s="4" t="s">
        <v>540</v>
      </c>
      <c r="C4" s="4" t="s">
        <v>136</v>
      </c>
      <c r="D4" s="4" t="s">
        <v>138</v>
      </c>
      <c r="E4" s="4" t="s">
        <v>137</v>
      </c>
      <c r="F4" s="4" t="s">
        <v>541</v>
      </c>
      <c r="G4" s="4" t="s">
        <v>542</v>
      </c>
    </row>
    <row r="5" customFormat="false" ht="15" hidden="false" customHeight="false" outlineLevel="0" collapsed="false">
      <c r="A5" s="7" t="s">
        <v>146</v>
      </c>
      <c r="B5" s="7" t="s">
        <v>543</v>
      </c>
      <c r="C5" s="16" t="s">
        <v>147</v>
      </c>
      <c r="D5" s="17" t="n">
        <v>10</v>
      </c>
      <c r="E5" s="18" t="n">
        <v>1</v>
      </c>
      <c r="F5" s="19" t="n">
        <f aca="false">D5*E5</f>
        <v>10</v>
      </c>
      <c r="G5" s="20" t="n">
        <f aca="false">F5/SUMIF($B$5:$B$54,B5,$F$5:$F$54)</f>
        <v>0.662251655629139</v>
      </c>
    </row>
    <row r="6" customFormat="false" ht="15" hidden="false" customHeight="false" outlineLevel="0" collapsed="false">
      <c r="A6" s="7" t="s">
        <v>152</v>
      </c>
      <c r="B6" s="7" t="s">
        <v>543</v>
      </c>
      <c r="C6" s="16" t="s">
        <v>147</v>
      </c>
      <c r="D6" s="17" t="n">
        <v>3</v>
      </c>
      <c r="E6" s="18" t="n">
        <v>1</v>
      </c>
      <c r="F6" s="19" t="n">
        <f aca="false">D6*E6</f>
        <v>3</v>
      </c>
      <c r="G6" s="20" t="n">
        <f aca="false">F6/SUMIF($B$5:$B$54,B6,$F$5:$F$54)</f>
        <v>0.198675496688742</v>
      </c>
    </row>
    <row r="7" customFormat="false" ht="15" hidden="false" customHeight="false" outlineLevel="0" collapsed="false">
      <c r="A7" s="7" t="s">
        <v>154</v>
      </c>
      <c r="B7" s="7" t="s">
        <v>543</v>
      </c>
      <c r="C7" s="16" t="s">
        <v>147</v>
      </c>
      <c r="D7" s="17" t="n">
        <v>1</v>
      </c>
      <c r="E7" s="18" t="n">
        <v>1</v>
      </c>
      <c r="F7" s="19" t="n">
        <f aca="false">D7*E7</f>
        <v>1</v>
      </c>
      <c r="G7" s="20" t="n">
        <f aca="false">F7/SUMIF($B$5:$B$54,B7,$F$5:$F$54)</f>
        <v>0.0662251655629139</v>
      </c>
    </row>
    <row r="8" customFormat="false" ht="15" hidden="false" customHeight="false" outlineLevel="0" collapsed="false">
      <c r="A8" s="7" t="s">
        <v>156</v>
      </c>
      <c r="B8" s="7" t="s">
        <v>543</v>
      </c>
      <c r="C8" s="16" t="s">
        <v>147</v>
      </c>
      <c r="D8" s="17" t="n">
        <v>0.8</v>
      </c>
      <c r="E8" s="18" t="n">
        <v>1</v>
      </c>
      <c r="F8" s="19" t="n">
        <f aca="false">D8*E8</f>
        <v>0.8</v>
      </c>
      <c r="G8" s="20" t="n">
        <f aca="false">F8/SUMIF($B$5:$B$54,B8,$F$5:$F$54)</f>
        <v>0.0529801324503311</v>
      </c>
    </row>
    <row r="9" customFormat="false" ht="15" hidden="false" customHeight="false" outlineLevel="0" collapsed="false">
      <c r="A9" s="7" t="s">
        <v>158</v>
      </c>
      <c r="B9" s="7" t="s">
        <v>543</v>
      </c>
      <c r="C9" s="16" t="s">
        <v>147</v>
      </c>
      <c r="D9" s="17" t="n">
        <v>0.3</v>
      </c>
      <c r="E9" s="18" t="n">
        <v>1</v>
      </c>
      <c r="F9" s="19" t="n">
        <f aca="false">D9*E9</f>
        <v>0.3</v>
      </c>
      <c r="G9" s="20" t="n">
        <f aca="false">F9/SUMIF($B$5:$B$54,B9,$F$5:$F$54)</f>
        <v>0.0198675496688742</v>
      </c>
    </row>
    <row r="10" customFormat="false" ht="15" hidden="false" customHeight="false" outlineLevel="0" collapsed="false">
      <c r="A10" s="7" t="s">
        <v>160</v>
      </c>
      <c r="B10" s="7" t="s">
        <v>544</v>
      </c>
      <c r="C10" s="16" t="s">
        <v>147</v>
      </c>
      <c r="D10" s="17" t="n">
        <v>0.3</v>
      </c>
      <c r="E10" s="18" t="n">
        <v>4</v>
      </c>
      <c r="F10" s="19" t="n">
        <f aca="false">D10*E10</f>
        <v>1.2</v>
      </c>
      <c r="G10" s="20" t="n">
        <f aca="false">F10/SUMIF($B$5:$B$54,B10,$F$5:$F$54)</f>
        <v>1</v>
      </c>
    </row>
    <row r="11" customFormat="false" ht="15" hidden="false" customHeight="false" outlineLevel="0" collapsed="false">
      <c r="A11" s="7" t="s">
        <v>164</v>
      </c>
      <c r="B11" s="7" t="s">
        <v>149</v>
      </c>
      <c r="C11" s="16" t="s">
        <v>165</v>
      </c>
      <c r="D11" s="17" t="n">
        <v>10</v>
      </c>
      <c r="E11" s="18" t="n">
        <v>1</v>
      </c>
      <c r="F11" s="19" t="n">
        <f aca="false">D11*E11</f>
        <v>10</v>
      </c>
      <c r="G11" s="20" t="n">
        <f aca="false">F11/SUMIF($B$5:$B$54,B11,$F$5:$F$54)</f>
        <v>1</v>
      </c>
    </row>
    <row r="12" customFormat="false" ht="15" hidden="false" customHeight="false" outlineLevel="0" collapsed="false">
      <c r="A12" s="7" t="s">
        <v>168</v>
      </c>
      <c r="B12" s="7" t="s">
        <v>545</v>
      </c>
      <c r="C12" s="16" t="s">
        <v>165</v>
      </c>
      <c r="D12" s="17" t="n">
        <v>1</v>
      </c>
      <c r="E12" s="18" t="n">
        <v>4</v>
      </c>
      <c r="F12" s="19" t="n">
        <f aca="false">D12*E12</f>
        <v>4</v>
      </c>
      <c r="G12" s="20" t="n">
        <f aca="false">F12/SUMIF($B$5:$B$54,B12,$F$5:$F$54)</f>
        <v>1</v>
      </c>
    </row>
    <row r="13" customFormat="false" ht="15" hidden="false" customHeight="false" outlineLevel="0" collapsed="false">
      <c r="A13" s="7" t="s">
        <v>171</v>
      </c>
      <c r="B13" s="7" t="s">
        <v>546</v>
      </c>
      <c r="C13" s="16" t="s">
        <v>147</v>
      </c>
      <c r="D13" s="17" t="n">
        <v>1</v>
      </c>
      <c r="E13" s="18" t="n">
        <v>4</v>
      </c>
      <c r="F13" s="19" t="n">
        <f aca="false">D13*E13</f>
        <v>4</v>
      </c>
      <c r="G13" s="20" t="n">
        <f aca="false">F13/SUMIF($B$5:$B$54,B13,$F$5:$F$54)</f>
        <v>0.454545454545455</v>
      </c>
    </row>
    <row r="14" customFormat="false" ht="15" hidden="false" customHeight="false" outlineLevel="0" collapsed="false">
      <c r="A14" s="7" t="s">
        <v>176</v>
      </c>
      <c r="B14" s="7" t="s">
        <v>546</v>
      </c>
      <c r="C14" s="16" t="s">
        <v>147</v>
      </c>
      <c r="D14" s="17" t="n">
        <v>0.3</v>
      </c>
      <c r="E14" s="18" t="n">
        <v>4</v>
      </c>
      <c r="F14" s="19" t="n">
        <f aca="false">D14*E14</f>
        <v>1.2</v>
      </c>
      <c r="G14" s="20" t="n">
        <f aca="false">F14/SUMIF($B$5:$B$54,B14,$F$5:$F$54)</f>
        <v>0.136363636363636</v>
      </c>
    </row>
    <row r="15" customFormat="false" ht="15" hidden="false" customHeight="false" outlineLevel="0" collapsed="false">
      <c r="A15" s="7" t="s">
        <v>178</v>
      </c>
      <c r="B15" s="7" t="s">
        <v>546</v>
      </c>
      <c r="C15" s="16" t="s">
        <v>147</v>
      </c>
      <c r="D15" s="17" t="n">
        <v>0.3</v>
      </c>
      <c r="E15" s="18" t="n">
        <v>4</v>
      </c>
      <c r="F15" s="19" t="n">
        <f aca="false">D15*E15</f>
        <v>1.2</v>
      </c>
      <c r="G15" s="20" t="n">
        <f aca="false">F15/SUMIF($B$5:$B$54,B15,$F$5:$F$54)</f>
        <v>0.136363636363636</v>
      </c>
    </row>
    <row r="16" customFormat="false" ht="15" hidden="false" customHeight="false" outlineLevel="0" collapsed="false">
      <c r="A16" s="7" t="s">
        <v>180</v>
      </c>
      <c r="B16" s="7" t="s">
        <v>546</v>
      </c>
      <c r="C16" s="16" t="s">
        <v>147</v>
      </c>
      <c r="D16" s="17" t="n">
        <v>0.3</v>
      </c>
      <c r="E16" s="18" t="n">
        <v>4</v>
      </c>
      <c r="F16" s="19" t="n">
        <f aca="false">D16*E16</f>
        <v>1.2</v>
      </c>
      <c r="G16" s="20" t="n">
        <f aca="false">F16/SUMIF($B$5:$B$54,B16,$F$5:$F$54)</f>
        <v>0.136363636363636</v>
      </c>
    </row>
    <row r="17" customFormat="false" ht="15" hidden="false" customHeight="false" outlineLevel="0" collapsed="false">
      <c r="A17" s="7" t="s">
        <v>182</v>
      </c>
      <c r="B17" s="7" t="s">
        <v>546</v>
      </c>
      <c r="C17" s="16" t="s">
        <v>147</v>
      </c>
      <c r="D17" s="17" t="n">
        <v>0.3</v>
      </c>
      <c r="E17" s="18" t="n">
        <v>4</v>
      </c>
      <c r="F17" s="19" t="n">
        <f aca="false">D17*E17</f>
        <v>1.2</v>
      </c>
      <c r="G17" s="20" t="n">
        <f aca="false">F17/SUMIF($B$5:$B$54,B17,$F$5:$F$54)</f>
        <v>0.136363636363636</v>
      </c>
    </row>
    <row r="18" customFormat="false" ht="15" hidden="false" customHeight="false" outlineLevel="0" collapsed="false">
      <c r="A18" s="7" t="s">
        <v>184</v>
      </c>
      <c r="B18" s="7" t="s">
        <v>547</v>
      </c>
      <c r="C18" s="16" t="s">
        <v>165</v>
      </c>
      <c r="D18" s="17" t="n">
        <v>1</v>
      </c>
      <c r="E18" s="18" t="n">
        <v>4</v>
      </c>
      <c r="F18" s="19" t="n">
        <f aca="false">D18*E18</f>
        <v>4</v>
      </c>
      <c r="G18" s="20" t="n">
        <f aca="false">F18/SUMIF($B$5:$B$54,B18,$F$5:$F$54)</f>
        <v>0.625</v>
      </c>
    </row>
    <row r="19" customFormat="false" ht="15" hidden="false" customHeight="false" outlineLevel="0" collapsed="false">
      <c r="A19" s="7" t="s">
        <v>188</v>
      </c>
      <c r="B19" s="7" t="s">
        <v>547</v>
      </c>
      <c r="C19" s="16" t="s">
        <v>165</v>
      </c>
      <c r="D19" s="17" t="n">
        <v>0.3</v>
      </c>
      <c r="E19" s="18" t="n">
        <v>4</v>
      </c>
      <c r="F19" s="19" t="n">
        <f aca="false">D19*E19</f>
        <v>1.2</v>
      </c>
      <c r="G19" s="20" t="n">
        <f aca="false">F19/SUMIF($B$5:$B$54,B19,$F$5:$F$54)</f>
        <v>0.1875</v>
      </c>
    </row>
    <row r="20" customFormat="false" ht="15" hidden="false" customHeight="false" outlineLevel="0" collapsed="false">
      <c r="A20" s="7" t="s">
        <v>190</v>
      </c>
      <c r="B20" s="7" t="s">
        <v>547</v>
      </c>
      <c r="C20" s="16" t="s">
        <v>165</v>
      </c>
      <c r="D20" s="17" t="n">
        <v>0.3</v>
      </c>
      <c r="E20" s="18" t="n">
        <v>4</v>
      </c>
      <c r="F20" s="19" t="n">
        <f aca="false">D20*E20</f>
        <v>1.2</v>
      </c>
      <c r="G20" s="20" t="n">
        <f aca="false">F20/SUMIF($B$5:$B$54,B20,$F$5:$F$54)</f>
        <v>0.1875</v>
      </c>
    </row>
    <row r="21" customFormat="false" ht="15" hidden="false" customHeight="false" outlineLevel="0" collapsed="false">
      <c r="A21" s="7" t="s">
        <v>192</v>
      </c>
      <c r="B21" s="7" t="s">
        <v>548</v>
      </c>
      <c r="C21" s="16" t="s">
        <v>165</v>
      </c>
      <c r="D21" s="17" t="n">
        <v>1</v>
      </c>
      <c r="E21" s="18" t="n">
        <v>4</v>
      </c>
      <c r="F21" s="19" t="n">
        <f aca="false">D21*E21</f>
        <v>4</v>
      </c>
      <c r="G21" s="20" t="n">
        <f aca="false">F21/SUMIF($B$5:$B$54,B21,$F$5:$F$54)</f>
        <v>0.384615384615385</v>
      </c>
    </row>
    <row r="22" customFormat="false" ht="15" hidden="false" customHeight="false" outlineLevel="0" collapsed="false">
      <c r="A22" s="7" t="s">
        <v>196</v>
      </c>
      <c r="B22" s="7" t="s">
        <v>548</v>
      </c>
      <c r="C22" s="16" t="s">
        <v>165</v>
      </c>
      <c r="D22" s="17" t="n">
        <v>0.3</v>
      </c>
      <c r="E22" s="18" t="n">
        <v>4</v>
      </c>
      <c r="F22" s="19" t="n">
        <f aca="false">D22*E22</f>
        <v>1.2</v>
      </c>
      <c r="G22" s="20" t="n">
        <f aca="false">F22/SUMIF($B$5:$B$54,B22,$F$5:$F$54)</f>
        <v>0.115384615384615</v>
      </c>
    </row>
    <row r="23" customFormat="false" ht="15" hidden="false" customHeight="false" outlineLevel="0" collapsed="false">
      <c r="A23" s="7" t="s">
        <v>198</v>
      </c>
      <c r="B23" s="7" t="s">
        <v>548</v>
      </c>
      <c r="C23" s="16" t="s">
        <v>165</v>
      </c>
      <c r="D23" s="17" t="n">
        <v>0.3</v>
      </c>
      <c r="E23" s="18" t="n">
        <v>4</v>
      </c>
      <c r="F23" s="19" t="n">
        <f aca="false">D23*E23</f>
        <v>1.2</v>
      </c>
      <c r="G23" s="20" t="n">
        <f aca="false">F23/SUMIF($B$5:$B$54,B23,$F$5:$F$54)</f>
        <v>0.115384615384615</v>
      </c>
    </row>
    <row r="24" customFormat="false" ht="15" hidden="false" customHeight="false" outlineLevel="0" collapsed="false">
      <c r="A24" s="7" t="s">
        <v>200</v>
      </c>
      <c r="B24" s="7" t="s">
        <v>548</v>
      </c>
      <c r="C24" s="16" t="s">
        <v>165</v>
      </c>
      <c r="D24" s="17" t="n">
        <v>1</v>
      </c>
      <c r="E24" s="18" t="n">
        <v>4</v>
      </c>
      <c r="F24" s="19" t="n">
        <f aca="false">D24*E24</f>
        <v>4</v>
      </c>
      <c r="G24" s="20" t="n">
        <f aca="false">F24/SUMIF($B$5:$B$54,B24,$F$5:$F$54)</f>
        <v>0.384615384615385</v>
      </c>
    </row>
    <row r="25" customFormat="false" ht="15" hidden="false" customHeight="false" outlineLevel="0" collapsed="false">
      <c r="A25" s="7" t="s">
        <v>203</v>
      </c>
      <c r="B25" s="7" t="s">
        <v>549</v>
      </c>
      <c r="C25" s="16" t="s">
        <v>147</v>
      </c>
      <c r="D25" s="17" t="n">
        <v>1</v>
      </c>
      <c r="E25" s="18" t="n">
        <v>4</v>
      </c>
      <c r="F25" s="19" t="n">
        <f aca="false">D25*E25</f>
        <v>4</v>
      </c>
      <c r="G25" s="20" t="n">
        <f aca="false">F25/SUMIF($B$5:$B$54,B25,$F$5:$F$54)</f>
        <v>1</v>
      </c>
    </row>
    <row r="26" customFormat="false" ht="15" hidden="false" customHeight="false" outlineLevel="0" collapsed="false">
      <c r="A26" s="7" t="s">
        <v>206</v>
      </c>
      <c r="B26" s="7" t="s">
        <v>550</v>
      </c>
      <c r="C26" s="16" t="s">
        <v>165</v>
      </c>
      <c r="D26" s="17" t="n">
        <v>1</v>
      </c>
      <c r="E26" s="18" t="n">
        <v>4</v>
      </c>
      <c r="F26" s="19" t="n">
        <f aca="false">D26*E26</f>
        <v>4</v>
      </c>
      <c r="G26" s="20" t="n">
        <f aca="false">F26/SUMIF($B$5:$B$54,B26,$F$5:$F$54)</f>
        <v>1</v>
      </c>
    </row>
    <row r="27" customFormat="false" ht="15" hidden="false" customHeight="false" outlineLevel="0" collapsed="false">
      <c r="A27" s="7" t="s">
        <v>208</v>
      </c>
      <c r="B27" s="7" t="s">
        <v>551</v>
      </c>
      <c r="C27" s="16" t="s">
        <v>165</v>
      </c>
      <c r="D27" s="17" t="n">
        <v>1</v>
      </c>
      <c r="E27" s="18" t="n">
        <v>4</v>
      </c>
      <c r="F27" s="19" t="n">
        <f aca="false">D27*E27</f>
        <v>4</v>
      </c>
      <c r="G27" s="20" t="n">
        <f aca="false">F27/SUMIF($B$5:$B$54,B27,$F$5:$F$54)</f>
        <v>1</v>
      </c>
    </row>
    <row r="28" customFormat="false" ht="15" hidden="false" customHeight="false" outlineLevel="0" collapsed="false">
      <c r="A28" s="7" t="s">
        <v>210</v>
      </c>
      <c r="B28" s="7" t="s">
        <v>552</v>
      </c>
      <c r="C28" s="16" t="s">
        <v>147</v>
      </c>
      <c r="D28" s="17" t="n">
        <v>1</v>
      </c>
      <c r="E28" s="18" t="n">
        <v>4</v>
      </c>
      <c r="F28" s="19" t="n">
        <f aca="false">D28*E28</f>
        <v>4</v>
      </c>
      <c r="G28" s="20" t="n">
        <f aca="false">F28/SUMIF($B$5:$B$54,B28,$F$5:$F$54)</f>
        <v>1</v>
      </c>
    </row>
    <row r="29" customFormat="false" ht="15" hidden="false" customHeight="false" outlineLevel="0" collapsed="false">
      <c r="A29" s="7" t="s">
        <v>216</v>
      </c>
      <c r="B29" s="7" t="s">
        <v>553</v>
      </c>
      <c r="C29" s="16" t="s">
        <v>165</v>
      </c>
      <c r="D29" s="17" t="n">
        <v>3</v>
      </c>
      <c r="E29" s="18" t="n">
        <v>4</v>
      </c>
      <c r="F29" s="19" t="n">
        <f aca="false">D29*E29</f>
        <v>12</v>
      </c>
      <c r="G29" s="20" t="n">
        <f aca="false">F29/SUMIF($B$5:$B$54,B29,$F$5:$F$54)</f>
        <v>0.333333333333333</v>
      </c>
    </row>
    <row r="30" customFormat="false" ht="15" hidden="false" customHeight="false" outlineLevel="0" collapsed="false">
      <c r="A30" s="7" t="s">
        <v>218</v>
      </c>
      <c r="B30" s="7" t="s">
        <v>553</v>
      </c>
      <c r="C30" s="16" t="s">
        <v>165</v>
      </c>
      <c r="D30" s="17" t="n">
        <v>3</v>
      </c>
      <c r="E30" s="18" t="n">
        <v>4</v>
      </c>
      <c r="F30" s="19" t="n">
        <f aca="false">D30*E30</f>
        <v>12</v>
      </c>
      <c r="G30" s="20" t="n">
        <f aca="false">F30/SUMIF($B$5:$B$54,B30,$F$5:$F$54)</f>
        <v>0.333333333333333</v>
      </c>
    </row>
    <row r="31" customFormat="false" ht="15" hidden="false" customHeight="false" outlineLevel="0" collapsed="false">
      <c r="A31" s="7" t="s">
        <v>220</v>
      </c>
      <c r="B31" s="7" t="s">
        <v>553</v>
      </c>
      <c r="C31" s="16" t="s">
        <v>165</v>
      </c>
      <c r="D31" s="17" t="n">
        <v>3</v>
      </c>
      <c r="E31" s="18" t="n">
        <v>4</v>
      </c>
      <c r="F31" s="19" t="n">
        <f aca="false">D31*E31</f>
        <v>12</v>
      </c>
      <c r="G31" s="20" t="n">
        <f aca="false">F31/SUMIF($B$5:$B$54,B31,$F$5:$F$54)</f>
        <v>0.333333333333333</v>
      </c>
    </row>
    <row r="32" customFormat="false" ht="15" hidden="false" customHeight="false" outlineLevel="0" collapsed="false">
      <c r="A32" s="7" t="s">
        <v>222</v>
      </c>
      <c r="B32" s="7" t="s">
        <v>554</v>
      </c>
      <c r="C32" s="16" t="s">
        <v>165</v>
      </c>
      <c r="D32" s="17" t="n">
        <v>1</v>
      </c>
      <c r="E32" s="18" t="n">
        <v>4</v>
      </c>
      <c r="F32" s="19" t="n">
        <f aca="false">D32*E32</f>
        <v>4</v>
      </c>
      <c r="G32" s="20" t="n">
        <f aca="false">F32/SUMIF($B$5:$B$54,B32,$F$5:$F$54)</f>
        <v>0.666666666666667</v>
      </c>
    </row>
    <row r="33" customFormat="false" ht="15" hidden="false" customHeight="false" outlineLevel="0" collapsed="false">
      <c r="A33" s="7" t="s">
        <v>226</v>
      </c>
      <c r="B33" s="7" t="s">
        <v>554</v>
      </c>
      <c r="C33" s="16" t="s">
        <v>165</v>
      </c>
      <c r="D33" s="17" t="n">
        <v>0.5</v>
      </c>
      <c r="E33" s="18" t="n">
        <v>4</v>
      </c>
      <c r="F33" s="19" t="n">
        <f aca="false">D33*E33</f>
        <v>2</v>
      </c>
      <c r="G33" s="20" t="n">
        <f aca="false">F33/SUMIF($B$5:$B$54,B33,$F$5:$F$54)</f>
        <v>0.333333333333333</v>
      </c>
    </row>
    <row r="34" customFormat="false" ht="15" hidden="false" customHeight="false" outlineLevel="0" collapsed="false">
      <c r="A34" s="7" t="s">
        <v>228</v>
      </c>
      <c r="B34" s="7" t="s">
        <v>555</v>
      </c>
      <c r="C34" s="16" t="s">
        <v>165</v>
      </c>
      <c r="D34" s="17" t="n">
        <v>1</v>
      </c>
      <c r="E34" s="18" t="n">
        <v>4</v>
      </c>
      <c r="F34" s="19" t="n">
        <f aca="false">D34*E34</f>
        <v>4</v>
      </c>
      <c r="G34" s="20" t="n">
        <f aca="false">F34/SUMIF($B$5:$B$54,B34,$F$5:$F$54)</f>
        <v>1</v>
      </c>
    </row>
    <row r="35" customFormat="false" ht="15" hidden="false" customHeight="false" outlineLevel="0" collapsed="false">
      <c r="A35" s="7" t="s">
        <v>234</v>
      </c>
      <c r="B35" s="7" t="s">
        <v>556</v>
      </c>
      <c r="C35" s="16" t="s">
        <v>165</v>
      </c>
      <c r="D35" s="17" t="n">
        <v>1</v>
      </c>
      <c r="E35" s="18" t="n">
        <v>4</v>
      </c>
      <c r="F35" s="19" t="n">
        <f aca="false">D35*E35</f>
        <v>4</v>
      </c>
      <c r="G35" s="20" t="n">
        <f aca="false">F35/SUMIF($B$5:$B$54,B35,$F$5:$F$54)</f>
        <v>1</v>
      </c>
    </row>
    <row r="36" customFormat="false" ht="15" hidden="false" customHeight="false" outlineLevel="0" collapsed="false">
      <c r="A36" s="7" t="s">
        <v>238</v>
      </c>
      <c r="B36" s="7" t="s">
        <v>557</v>
      </c>
      <c r="C36" s="16" t="s">
        <v>147</v>
      </c>
      <c r="D36" s="17" t="n">
        <v>1</v>
      </c>
      <c r="E36" s="18" t="n">
        <v>4</v>
      </c>
      <c r="F36" s="19" t="n">
        <f aca="false">D36*E36</f>
        <v>4</v>
      </c>
      <c r="G36" s="20" t="n">
        <f aca="false">F36/SUMIF($B$5:$B$54,B36,$F$5:$F$54)</f>
        <v>0.5</v>
      </c>
    </row>
    <row r="37" customFormat="false" ht="15" hidden="false" customHeight="false" outlineLevel="0" collapsed="false">
      <c r="A37" s="7" t="s">
        <v>246</v>
      </c>
      <c r="B37" s="7" t="s">
        <v>557</v>
      </c>
      <c r="C37" s="16" t="s">
        <v>147</v>
      </c>
      <c r="D37" s="17" t="n">
        <v>1</v>
      </c>
      <c r="E37" s="18" t="n">
        <v>4</v>
      </c>
      <c r="F37" s="19" t="n">
        <f aca="false">D37*E37</f>
        <v>4</v>
      </c>
      <c r="G37" s="20" t="n">
        <f aca="false">F37/SUMIF($B$5:$B$54,B37,$F$5:$F$54)</f>
        <v>0.5</v>
      </c>
    </row>
    <row r="38" customFormat="false" ht="15" hidden="false" customHeight="false" outlineLevel="0" collapsed="false">
      <c r="A38" s="7" t="s">
        <v>249</v>
      </c>
      <c r="B38" s="7" t="s">
        <v>558</v>
      </c>
      <c r="C38" s="16" t="s">
        <v>147</v>
      </c>
      <c r="D38" s="17" t="n">
        <v>1</v>
      </c>
      <c r="E38" s="18" t="n">
        <v>4</v>
      </c>
      <c r="F38" s="19" t="n">
        <f aca="false">D38*E38</f>
        <v>4</v>
      </c>
      <c r="G38" s="20" t="n">
        <f aca="false">F38/SUMIF($B$5:$B$54,B38,$F$5:$F$54)</f>
        <v>1</v>
      </c>
    </row>
    <row r="39" customFormat="false" ht="15" hidden="false" customHeight="false" outlineLevel="0" collapsed="false">
      <c r="A39" s="7" t="s">
        <v>253</v>
      </c>
      <c r="B39" s="7" t="s">
        <v>559</v>
      </c>
      <c r="C39" s="16" t="s">
        <v>147</v>
      </c>
      <c r="D39" s="17" t="n">
        <v>1</v>
      </c>
      <c r="E39" s="18" t="n">
        <v>1</v>
      </c>
      <c r="F39" s="19" t="n">
        <f aca="false">D39*E39</f>
        <v>1</v>
      </c>
      <c r="G39" s="20" t="n">
        <f aca="false">F39/SUMIF($B$5:$B$54,B39,$F$5:$F$54)</f>
        <v>1</v>
      </c>
    </row>
    <row r="40" customFormat="false" ht="15" hidden="false" customHeight="false" outlineLevel="0" collapsed="false">
      <c r="A40" s="7" t="s">
        <v>239</v>
      </c>
      <c r="B40" s="7" t="s">
        <v>560</v>
      </c>
      <c r="C40" s="16" t="s">
        <v>165</v>
      </c>
      <c r="D40" s="17" t="n">
        <v>1.3</v>
      </c>
      <c r="E40" s="18" t="n">
        <v>4</v>
      </c>
      <c r="F40" s="19" t="n">
        <f aca="false">D40*E40</f>
        <v>5.2</v>
      </c>
      <c r="G40" s="20" t="n">
        <f aca="false">F40/SUMIF($B$5:$B$54,B40,$F$5:$F$54)</f>
        <v>0.254901960784314</v>
      </c>
    </row>
    <row r="41" customFormat="false" ht="15" hidden="false" customHeight="false" outlineLevel="0" collapsed="false">
      <c r="A41" s="7" t="s">
        <v>247</v>
      </c>
      <c r="B41" s="7" t="s">
        <v>560</v>
      </c>
      <c r="C41" s="16" t="s">
        <v>165</v>
      </c>
      <c r="D41" s="17" t="n">
        <v>1.3</v>
      </c>
      <c r="E41" s="18" t="n">
        <v>4</v>
      </c>
      <c r="F41" s="19" t="n">
        <f aca="false">D41*E41</f>
        <v>5.2</v>
      </c>
      <c r="G41" s="20" t="n">
        <f aca="false">F41/SUMIF($B$5:$B$54,B41,$F$5:$F$54)</f>
        <v>0.254901960784314</v>
      </c>
    </row>
    <row r="42" customFormat="false" ht="15" hidden="false" customHeight="false" outlineLevel="0" collapsed="false">
      <c r="A42" s="7" t="s">
        <v>258</v>
      </c>
      <c r="B42" s="7" t="s">
        <v>560</v>
      </c>
      <c r="C42" s="16" t="s">
        <v>165</v>
      </c>
      <c r="D42" s="17" t="n">
        <v>1.5</v>
      </c>
      <c r="E42" s="18" t="n">
        <v>4</v>
      </c>
      <c r="F42" s="19" t="n">
        <f aca="false">D42*E42</f>
        <v>6</v>
      </c>
      <c r="G42" s="20" t="n">
        <f aca="false">F42/SUMIF($B$5:$B$54,B42,$F$5:$F$54)</f>
        <v>0.294117647058824</v>
      </c>
    </row>
    <row r="43" customFormat="false" ht="15" hidden="false" customHeight="false" outlineLevel="0" collapsed="false">
      <c r="A43" s="7" t="s">
        <v>260</v>
      </c>
      <c r="B43" s="7" t="s">
        <v>560</v>
      </c>
      <c r="C43" s="16" t="s">
        <v>165</v>
      </c>
      <c r="D43" s="17" t="n">
        <v>1</v>
      </c>
      <c r="E43" s="18" t="n">
        <v>4</v>
      </c>
      <c r="F43" s="19" t="n">
        <f aca="false">D43*E43</f>
        <v>4</v>
      </c>
      <c r="G43" s="20" t="n">
        <f aca="false">F43/SUMIF($B$5:$B$54,B43,$F$5:$F$54)</f>
        <v>0.196078431372549</v>
      </c>
    </row>
    <row r="44" customFormat="false" ht="15" hidden="false" customHeight="false" outlineLevel="0" collapsed="false">
      <c r="A44" s="7" t="s">
        <v>250</v>
      </c>
      <c r="B44" s="7" t="s">
        <v>561</v>
      </c>
      <c r="C44" s="16" t="s">
        <v>165</v>
      </c>
      <c r="D44" s="17" t="n">
        <v>1</v>
      </c>
      <c r="E44" s="18" t="n">
        <v>4</v>
      </c>
      <c r="F44" s="19" t="n">
        <f aca="false">D44*E44</f>
        <v>4</v>
      </c>
      <c r="G44" s="20" t="n">
        <f aca="false">F44/SUMIF($B$5:$B$54,B44,$F$5:$F$54)</f>
        <v>1</v>
      </c>
    </row>
    <row r="45" customFormat="false" ht="15" hidden="false" customHeight="false" outlineLevel="0" collapsed="false">
      <c r="A45" s="7" t="s">
        <v>263</v>
      </c>
      <c r="B45" s="7" t="s">
        <v>562</v>
      </c>
      <c r="C45" s="16" t="s">
        <v>165</v>
      </c>
      <c r="D45" s="17" t="n">
        <v>1</v>
      </c>
      <c r="E45" s="18" t="n">
        <v>1</v>
      </c>
      <c r="F45" s="19" t="n">
        <f aca="false">D45*E45</f>
        <v>1</v>
      </c>
      <c r="G45" s="20" t="n">
        <f aca="false">F45/SUMIF($B$5:$B$54,B45,$F$5:$F$54)</f>
        <v>1</v>
      </c>
    </row>
    <row r="46" customFormat="false" ht="15" hidden="false" customHeight="false" outlineLevel="0" collapsed="false">
      <c r="A46" s="7" t="s">
        <v>265</v>
      </c>
      <c r="B46" s="7" t="s">
        <v>563</v>
      </c>
      <c r="C46" s="16" t="s">
        <v>165</v>
      </c>
      <c r="D46" s="17" t="n">
        <v>1</v>
      </c>
      <c r="E46" s="18" t="n">
        <v>4</v>
      </c>
      <c r="F46" s="19" t="n">
        <f aca="false">D46*E46</f>
        <v>4</v>
      </c>
      <c r="G46" s="20" t="n">
        <f aca="false">F46/SUMIF($B$5:$B$54,B46,$F$5:$F$54)</f>
        <v>1</v>
      </c>
    </row>
    <row r="47" customFormat="false" ht="15" hidden="false" customHeight="false" outlineLevel="0" collapsed="false">
      <c r="A47" s="7" t="s">
        <v>271</v>
      </c>
      <c r="B47" s="7" t="s">
        <v>564</v>
      </c>
      <c r="C47" s="16" t="s">
        <v>165</v>
      </c>
      <c r="D47" s="17" t="n">
        <v>1</v>
      </c>
      <c r="E47" s="18" t="n">
        <v>4</v>
      </c>
      <c r="F47" s="19" t="n">
        <f aca="false">D47*E47</f>
        <v>4</v>
      </c>
      <c r="G47" s="20" t="n">
        <f aca="false">F47/SUMIF($B$5:$B$54,B47,$F$5:$F$54)</f>
        <v>1</v>
      </c>
    </row>
    <row r="48" customFormat="false" ht="15" hidden="false" customHeight="false" outlineLevel="0" collapsed="false">
      <c r="A48" s="7" t="s">
        <v>274</v>
      </c>
      <c r="B48" s="7" t="s">
        <v>565</v>
      </c>
      <c r="C48" s="16" t="s">
        <v>165</v>
      </c>
      <c r="D48" s="17" t="n">
        <v>1</v>
      </c>
      <c r="E48" s="18" t="n">
        <v>4</v>
      </c>
      <c r="F48" s="19" t="n">
        <f aca="false">D48*E48</f>
        <v>4</v>
      </c>
      <c r="G48" s="20" t="n">
        <f aca="false">F48/SUMIF($B$5:$B$54,B48,$F$5:$F$54)</f>
        <v>1</v>
      </c>
    </row>
    <row r="49" customFormat="false" ht="15" hidden="false" customHeight="false" outlineLevel="0" collapsed="false">
      <c r="A49" s="7" t="s">
        <v>279</v>
      </c>
      <c r="B49" s="7" t="s">
        <v>566</v>
      </c>
      <c r="C49" s="16" t="s">
        <v>165</v>
      </c>
      <c r="D49" s="17" t="n">
        <v>1</v>
      </c>
      <c r="E49" s="18" t="n">
        <v>4</v>
      </c>
      <c r="F49" s="19" t="n">
        <f aca="false">D49*E49</f>
        <v>4</v>
      </c>
      <c r="G49" s="20" t="n">
        <f aca="false">F49/SUMIF($B$5:$B$54,B49,$F$5:$F$54)</f>
        <v>1</v>
      </c>
    </row>
    <row r="50" customFormat="false" ht="15" hidden="false" customHeight="false" outlineLevel="0" collapsed="false">
      <c r="A50" s="7" t="s">
        <v>281</v>
      </c>
      <c r="B50" s="7" t="s">
        <v>567</v>
      </c>
      <c r="C50" s="16" t="s">
        <v>165</v>
      </c>
      <c r="D50" s="17" t="n">
        <v>1</v>
      </c>
      <c r="E50" s="18" t="n">
        <v>1</v>
      </c>
      <c r="F50" s="19" t="n">
        <f aca="false">D50*E50</f>
        <v>1</v>
      </c>
      <c r="G50" s="20" t="n">
        <f aca="false">F50/SUMIF($B$5:$B$54,B50,$F$5:$F$54)</f>
        <v>0.666666666666667</v>
      </c>
    </row>
    <row r="51" customFormat="false" ht="15" hidden="false" customHeight="false" outlineLevel="0" collapsed="false">
      <c r="A51" s="7" t="s">
        <v>283</v>
      </c>
      <c r="B51" s="7" t="s">
        <v>567</v>
      </c>
      <c r="C51" s="16" t="s">
        <v>165</v>
      </c>
      <c r="D51" s="17" t="n">
        <v>0.5</v>
      </c>
      <c r="E51" s="18" t="n">
        <v>1</v>
      </c>
      <c r="F51" s="19" t="n">
        <f aca="false">D51*E51</f>
        <v>0.5</v>
      </c>
      <c r="G51" s="20" t="n">
        <f aca="false">F51/SUMIF($B$5:$B$54,B51,$F$5:$F$54)</f>
        <v>0.333333333333333</v>
      </c>
    </row>
    <row r="52" customFormat="false" ht="15" hidden="false" customHeight="false" outlineLevel="0" collapsed="false">
      <c r="A52" s="7" t="s">
        <v>286</v>
      </c>
      <c r="B52" s="7" t="s">
        <v>568</v>
      </c>
      <c r="C52" s="16" t="s">
        <v>165</v>
      </c>
      <c r="D52" s="17" t="n">
        <v>1</v>
      </c>
      <c r="E52" s="18" t="n">
        <v>4</v>
      </c>
      <c r="F52" s="19" t="n">
        <f aca="false">D52*E52</f>
        <v>4</v>
      </c>
      <c r="G52" s="20" t="n">
        <f aca="false">F52/SUMIF($B$5:$B$54,B52,$F$5:$F$54)</f>
        <v>1</v>
      </c>
    </row>
    <row r="53" customFormat="false" ht="15" hidden="false" customHeight="false" outlineLevel="0" collapsed="false">
      <c r="A53" s="7" t="s">
        <v>290</v>
      </c>
      <c r="B53" s="7" t="s">
        <v>569</v>
      </c>
      <c r="C53" s="16" t="s">
        <v>165</v>
      </c>
      <c r="D53" s="17" t="n">
        <v>1</v>
      </c>
      <c r="E53" s="18" t="n">
        <v>4</v>
      </c>
      <c r="F53" s="19" t="n">
        <f aca="false">D53*E53</f>
        <v>4</v>
      </c>
      <c r="G53" s="20" t="n">
        <f aca="false">F53/SUMIF($B$5:$B$54,B53,$F$5:$F$54)</f>
        <v>1</v>
      </c>
    </row>
    <row r="54" customFormat="false" ht="15" hidden="false" customHeight="false" outlineLevel="0" collapsed="false">
      <c r="A54" s="7" t="s">
        <v>294</v>
      </c>
      <c r="B54" s="7" t="s">
        <v>570</v>
      </c>
      <c r="C54" s="16" t="s">
        <v>165</v>
      </c>
      <c r="D54" s="17" t="n">
        <v>1</v>
      </c>
      <c r="E54" s="18" t="n">
        <v>4</v>
      </c>
      <c r="F54" s="19" t="n">
        <f aca="false">D54*E54</f>
        <v>4</v>
      </c>
      <c r="G54" s="20" t="n">
        <f aca="false">F54/SUMIF($B$5:$B$54,B54,$F$5:$F$54)</f>
        <v>1</v>
      </c>
    </row>
    <row r="56" customFormat="false" ht="15" hidden="false" customHeight="false" outlineLevel="0" collapsed="false">
      <c r="A56" s="12" t="s">
        <v>571</v>
      </c>
    </row>
    <row r="57" customFormat="false" ht="51.75" hidden="false" customHeight="true" outlineLevel="0" collapsed="false">
      <c r="A57" s="3" t="s">
        <v>572</v>
      </c>
      <c r="B57" s="3"/>
      <c r="C57" s="3"/>
      <c r="D57" s="3"/>
      <c r="E57" s="3"/>
      <c r="F57" s="3"/>
      <c r="G57" s="3"/>
    </row>
    <row r="58" customFormat="false" ht="57.45" hidden="false" customHeight="false" outlineLevel="0" collapsed="false">
      <c r="A58" s="4" t="s">
        <v>573</v>
      </c>
      <c r="B58" s="4" t="s">
        <v>574</v>
      </c>
      <c r="C58" s="4" t="s">
        <v>575</v>
      </c>
      <c r="D58" s="4" t="s">
        <v>576</v>
      </c>
      <c r="E58" s="4" t="s">
        <v>577</v>
      </c>
      <c r="F58" s="4" t="s">
        <v>578</v>
      </c>
      <c r="G58" s="4" t="s">
        <v>579</v>
      </c>
    </row>
    <row r="59" customFormat="false" ht="35.05" hidden="false" customHeight="false" outlineLevel="0" collapsed="false">
      <c r="A59" s="21" t="s">
        <v>59</v>
      </c>
      <c r="B59" s="19" t="n">
        <f aca="false">D32+D33+D34</f>
        <v>2.5</v>
      </c>
      <c r="C59" s="19" t="n">
        <f aca="false">D29+D30+D31</f>
        <v>9</v>
      </c>
      <c r="D59" s="20" t="n">
        <f aca="false">B59/(B59+C59)</f>
        <v>0.217391304347826</v>
      </c>
      <c r="E59" s="22" t="n">
        <f aca="false">1+1/D59</f>
        <v>5.6</v>
      </c>
      <c r="F59" s="22" t="n">
        <v>5.86</v>
      </c>
      <c r="G59" s="7" t="s">
        <v>580</v>
      </c>
    </row>
    <row r="60" customFormat="false" ht="23.85" hidden="false" customHeight="false" outlineLevel="0" collapsed="false">
      <c r="A60" s="21" t="s">
        <v>581</v>
      </c>
      <c r="B60" s="19" t="n">
        <f aca="false">D27</f>
        <v>1</v>
      </c>
      <c r="C60" s="19" t="n">
        <f aca="false">D26</f>
        <v>1</v>
      </c>
      <c r="D60" s="20" t="n">
        <f aca="false">B60/(B60+C60)</f>
        <v>0.5</v>
      </c>
      <c r="E60" s="22" t="n">
        <f aca="false">1+1/D60</f>
        <v>3</v>
      </c>
      <c r="F60" s="22" t="n">
        <v>2.99</v>
      </c>
      <c r="G60" s="7" t="s">
        <v>582</v>
      </c>
    </row>
    <row r="61" customFormat="false" ht="23.85" hidden="false" customHeight="false" outlineLevel="0" collapsed="false">
      <c r="A61" s="21" t="s">
        <v>583</v>
      </c>
      <c r="B61" s="19" t="n">
        <f aca="false">D21+D22+D23+D24</f>
        <v>2.6</v>
      </c>
      <c r="C61" s="19" t="n">
        <f aca="false">D18+D19+D20</f>
        <v>1.6</v>
      </c>
      <c r="D61" s="20" t="n">
        <f aca="false">B61/(B61+C61)</f>
        <v>0.619047619047619</v>
      </c>
      <c r="E61" s="22" t="n">
        <f aca="false">1+1/D61</f>
        <v>2.61538461538462</v>
      </c>
      <c r="F61" s="22" t="n">
        <v>2.79</v>
      </c>
      <c r="G61" s="7" t="s">
        <v>582</v>
      </c>
    </row>
    <row r="62" customFormat="false" ht="23.85" hidden="false" customHeight="false" outlineLevel="0" collapsed="false">
      <c r="A62" s="21" t="s">
        <v>584</v>
      </c>
      <c r="B62" s="19" t="n">
        <f aca="false">D47</f>
        <v>1</v>
      </c>
      <c r="C62" s="19" t="n">
        <f aca="false">D44</f>
        <v>1</v>
      </c>
      <c r="D62" s="20" t="n">
        <f aca="false">B62/(B62+C62)</f>
        <v>0.5</v>
      </c>
      <c r="E62" s="22" t="n">
        <f aca="false">2+1/D62</f>
        <v>4</v>
      </c>
      <c r="F62" s="22" t="n">
        <v>4.28</v>
      </c>
      <c r="G62" s="7" t="s">
        <v>585</v>
      </c>
    </row>
    <row r="63" customFormat="false" ht="27.75" hidden="false" customHeight="true" outlineLevel="0" collapsed="false">
      <c r="A63" s="3" t="s">
        <v>586</v>
      </c>
      <c r="B63" s="3"/>
      <c r="C63" s="3"/>
      <c r="D63" s="3"/>
      <c r="E63" s="3"/>
      <c r="F63" s="3"/>
      <c r="G63" s="3"/>
    </row>
  </sheetData>
  <mergeCells count="2">
    <mergeCell ref="A57:G57"/>
    <mergeCell ref="A63:G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50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587</v>
      </c>
    </row>
    <row r="2" customFormat="false" ht="15" hidden="false" customHeight="false" outlineLevel="0" collapsed="false">
      <c r="A2" s="2" t="s">
        <v>588</v>
      </c>
    </row>
    <row r="4" customFormat="false" ht="15" hidden="false" customHeight="false" outlineLevel="0" collapsed="false">
      <c r="A4" s="4" t="s">
        <v>589</v>
      </c>
      <c r="B4" s="4" t="s">
        <v>590</v>
      </c>
      <c r="C4" s="4" t="s">
        <v>591</v>
      </c>
      <c r="D4" s="4" t="s">
        <v>592</v>
      </c>
      <c r="E4" s="4" t="s">
        <v>593</v>
      </c>
      <c r="F4" s="4" t="s">
        <v>594</v>
      </c>
    </row>
    <row r="5" customFormat="false" ht="35.05" hidden="false" customHeight="false" outlineLevel="0" collapsed="false">
      <c r="A5" s="7" t="s">
        <v>210</v>
      </c>
      <c r="B5" s="7" t="s">
        <v>595</v>
      </c>
      <c r="C5" s="23" t="n">
        <v>0.3</v>
      </c>
      <c r="D5" s="7" t="s">
        <v>596</v>
      </c>
      <c r="E5" s="7" t="s">
        <v>597</v>
      </c>
      <c r="F5" s="7" t="s">
        <v>598</v>
      </c>
    </row>
    <row r="6" customFormat="false" ht="15" hidden="false" customHeight="false" outlineLevel="0" collapsed="false">
      <c r="A6" s="7" t="s">
        <v>228</v>
      </c>
      <c r="B6" s="7" t="s">
        <v>599</v>
      </c>
      <c r="C6" s="23" t="n">
        <v>0.3</v>
      </c>
      <c r="D6" s="7" t="s">
        <v>600</v>
      </c>
      <c r="E6" s="7" t="s">
        <v>601</v>
      </c>
      <c r="F6" s="7" t="s">
        <v>602</v>
      </c>
    </row>
    <row r="7" customFormat="false" ht="35.05" hidden="false" customHeight="false" outlineLevel="0" collapsed="false">
      <c r="A7" s="7" t="s">
        <v>226</v>
      </c>
      <c r="B7" s="7" t="s">
        <v>603</v>
      </c>
      <c r="C7" s="24" t="s">
        <v>604</v>
      </c>
      <c r="D7" s="7" t="s">
        <v>605</v>
      </c>
      <c r="E7" s="7" t="s">
        <v>606</v>
      </c>
      <c r="F7" s="7" t="s">
        <v>602</v>
      </c>
    </row>
    <row r="8" customFormat="false" ht="15" hidden="false" customHeight="false" outlineLevel="0" collapsed="false">
      <c r="A8" s="7" t="s">
        <v>265</v>
      </c>
      <c r="B8" s="7" t="s">
        <v>607</v>
      </c>
      <c r="C8" s="23" t="n">
        <v>0.4</v>
      </c>
      <c r="D8" s="7" t="s">
        <v>600</v>
      </c>
      <c r="E8" s="7" t="s">
        <v>601</v>
      </c>
      <c r="F8" s="7" t="s">
        <v>602</v>
      </c>
    </row>
    <row r="9" customFormat="false" ht="15" hidden="false" customHeight="false" outlineLevel="0" collapsed="false">
      <c r="A9" s="7" t="s">
        <v>271</v>
      </c>
      <c r="B9" s="7" t="s">
        <v>608</v>
      </c>
      <c r="C9" s="23" t="n">
        <v>0.4</v>
      </c>
      <c r="D9" s="7" t="s">
        <v>609</v>
      </c>
      <c r="E9" s="7" t="s">
        <v>601</v>
      </c>
      <c r="F9" s="7" t="s">
        <v>602</v>
      </c>
    </row>
    <row r="10" customFormat="false" ht="23.85" hidden="false" customHeight="false" outlineLevel="0" collapsed="false">
      <c r="A10" s="7" t="s">
        <v>260</v>
      </c>
      <c r="B10" s="7" t="s">
        <v>610</v>
      </c>
      <c r="C10" s="23" t="n">
        <v>0.27</v>
      </c>
      <c r="D10" s="7" t="s">
        <v>611</v>
      </c>
      <c r="E10" s="7" t="s">
        <v>612</v>
      </c>
      <c r="F10" s="7" t="s">
        <v>602</v>
      </c>
    </row>
    <row r="11" customFormat="false" ht="23.85" hidden="false" customHeight="false" outlineLevel="0" collapsed="false">
      <c r="A11" s="7" t="s">
        <v>178</v>
      </c>
      <c r="B11" s="7" t="s">
        <v>613</v>
      </c>
      <c r="C11" s="23" t="n">
        <v>0.1</v>
      </c>
      <c r="D11" s="7" t="s">
        <v>614</v>
      </c>
      <c r="E11" s="7" t="s">
        <v>615</v>
      </c>
      <c r="F11" s="7" t="s">
        <v>616</v>
      </c>
    </row>
    <row r="12" customFormat="false" ht="15" hidden="false" customHeight="false" outlineLevel="0" collapsed="false">
      <c r="A12" s="7" t="s">
        <v>158</v>
      </c>
      <c r="B12" s="7" t="s">
        <v>617</v>
      </c>
      <c r="C12" s="23" t="n">
        <v>0.25</v>
      </c>
      <c r="D12" s="7" t="s">
        <v>618</v>
      </c>
      <c r="E12" s="7" t="s">
        <v>619</v>
      </c>
      <c r="F12" s="7" t="s">
        <v>602</v>
      </c>
    </row>
    <row r="13" customFormat="false" ht="23.85" hidden="false" customHeight="false" outlineLevel="0" collapsed="false">
      <c r="A13" s="7" t="s">
        <v>620</v>
      </c>
      <c r="B13" s="7" t="s">
        <v>621</v>
      </c>
      <c r="C13" s="23" t="n">
        <v>2.4</v>
      </c>
      <c r="D13" s="7" t="s">
        <v>622</v>
      </c>
      <c r="E13" s="7" t="s">
        <v>623</v>
      </c>
      <c r="F13" s="7" t="s">
        <v>602</v>
      </c>
    </row>
    <row r="14" customFormat="false" ht="15" hidden="false" customHeight="false" outlineLevel="0" collapsed="false">
      <c r="A14" s="7" t="s">
        <v>290</v>
      </c>
      <c r="B14" s="7" t="s">
        <v>624</v>
      </c>
      <c r="C14" s="23" t="n">
        <v>0.6</v>
      </c>
      <c r="D14" s="7" t="s">
        <v>622</v>
      </c>
      <c r="E14" s="7" t="s">
        <v>625</v>
      </c>
      <c r="F14" s="7" t="s">
        <v>602</v>
      </c>
    </row>
    <row r="15" customFormat="false" ht="57.45" hidden="false" customHeight="false" outlineLevel="0" collapsed="false">
      <c r="A15" s="7" t="s">
        <v>200</v>
      </c>
      <c r="B15" s="7" t="s">
        <v>626</v>
      </c>
      <c r="C15" s="23" t="n">
        <v>2.4</v>
      </c>
      <c r="D15" s="7" t="s">
        <v>627</v>
      </c>
      <c r="E15" s="7" t="s">
        <v>628</v>
      </c>
      <c r="F15" s="7" t="s">
        <v>629</v>
      </c>
    </row>
    <row r="16" customFormat="false" ht="46.25" hidden="false" customHeight="false" outlineLevel="0" collapsed="false">
      <c r="A16" s="7" t="s">
        <v>283</v>
      </c>
      <c r="B16" s="7" t="s">
        <v>746</v>
      </c>
      <c r="C16" s="23" t="n">
        <v>0.55</v>
      </c>
      <c r="D16" s="7" t="s">
        <v>747</v>
      </c>
      <c r="E16" s="7" t="s">
        <v>748</v>
      </c>
      <c r="F16" s="7" t="s">
        <v>602</v>
      </c>
    </row>
    <row r="18" customFormat="false" ht="15" hidden="false" customHeight="false" outlineLevel="0" collapsed="false">
      <c r="A18" s="2" t="s">
        <v>630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5"/>
    <col collapsed="false" customWidth="true" hidden="false" outlineLevel="0" max="3" min="3" style="0" width="7"/>
    <col collapsed="false" customWidth="true" hidden="false" outlineLevel="0" max="7" min="4" style="0" width="24"/>
    <col collapsed="false" customWidth="true" hidden="false" outlineLevel="0" max="9" min="8" style="0" width="30"/>
    <col collapsed="false" customWidth="true" hidden="false" outlineLevel="0" max="10" min="10" style="0" width="7"/>
  </cols>
  <sheetData>
    <row r="1" customFormat="false" ht="17.35" hidden="false" customHeight="false" outlineLevel="0" collapsed="false">
      <c r="A1" s="1" t="s">
        <v>631</v>
      </c>
    </row>
    <row r="2" customFormat="false" ht="15" hidden="false" customHeight="false" outlineLevel="0" collapsed="false">
      <c r="A2" s="2" t="s">
        <v>632</v>
      </c>
    </row>
    <row r="4" customFormat="false" ht="15" hidden="false" customHeight="false" outlineLevel="0" collapsed="false">
      <c r="A4" s="4" t="s">
        <v>3</v>
      </c>
      <c r="B4" s="4" t="s">
        <v>133</v>
      </c>
      <c r="C4" s="4" t="s">
        <v>633</v>
      </c>
      <c r="D4" s="4" t="s">
        <v>463</v>
      </c>
      <c r="E4" s="4" t="s">
        <v>465</v>
      </c>
      <c r="F4" s="4" t="s">
        <v>467</v>
      </c>
      <c r="G4" s="4" t="s">
        <v>469</v>
      </c>
      <c r="H4" s="4" t="s">
        <v>143</v>
      </c>
      <c r="I4" s="4" t="s">
        <v>144</v>
      </c>
      <c r="J4" s="4" t="s">
        <v>138</v>
      </c>
    </row>
    <row r="5" customFormat="false" ht="15" hidden="false" customHeight="false" outlineLevel="0" collapsed="false">
      <c r="A5" s="6" t="n">
        <v>1</v>
      </c>
      <c r="B5" s="7" t="s">
        <v>146</v>
      </c>
      <c r="C5" s="6" t="s">
        <v>634</v>
      </c>
      <c r="D5" s="7" t="s">
        <v>148</v>
      </c>
      <c r="E5" s="7" t="s">
        <v>148</v>
      </c>
      <c r="F5" s="7" t="s">
        <v>148</v>
      </c>
      <c r="G5" s="7" t="s">
        <v>148</v>
      </c>
      <c r="H5" s="7" t="s">
        <v>149</v>
      </c>
      <c r="I5" s="7" t="s">
        <v>150</v>
      </c>
      <c r="J5" s="6" t="n">
        <v>10</v>
      </c>
    </row>
    <row r="6" customFormat="false" ht="15" hidden="false" customHeight="false" outlineLevel="0" collapsed="false">
      <c r="A6" s="6" t="n">
        <v>2</v>
      </c>
      <c r="B6" s="7" t="s">
        <v>152</v>
      </c>
      <c r="C6" s="6" t="s">
        <v>634</v>
      </c>
      <c r="D6" s="7" t="s">
        <v>148</v>
      </c>
      <c r="E6" s="7" t="s">
        <v>148</v>
      </c>
      <c r="F6" s="7" t="s">
        <v>148</v>
      </c>
      <c r="G6" s="7" t="s">
        <v>148</v>
      </c>
      <c r="H6" s="7" t="s">
        <v>149</v>
      </c>
      <c r="I6" s="7" t="s">
        <v>150</v>
      </c>
      <c r="J6" s="6" t="n">
        <v>3</v>
      </c>
    </row>
    <row r="7" customFormat="false" ht="15" hidden="false" customHeight="false" outlineLevel="0" collapsed="false">
      <c r="A7" s="6" t="n">
        <v>3</v>
      </c>
      <c r="B7" s="7" t="s">
        <v>154</v>
      </c>
      <c r="C7" s="6" t="s">
        <v>634</v>
      </c>
      <c r="D7" s="7" t="s">
        <v>148</v>
      </c>
      <c r="E7" s="7" t="s">
        <v>148</v>
      </c>
      <c r="F7" s="7" t="s">
        <v>148</v>
      </c>
      <c r="G7" s="7" t="s">
        <v>148</v>
      </c>
      <c r="H7" s="7" t="s">
        <v>149</v>
      </c>
      <c r="I7" s="7" t="s">
        <v>150</v>
      </c>
      <c r="J7" s="6" t="n">
        <v>1</v>
      </c>
    </row>
    <row r="8" customFormat="false" ht="15" hidden="false" customHeight="false" outlineLevel="0" collapsed="false">
      <c r="A8" s="6" t="n">
        <v>4</v>
      </c>
      <c r="B8" s="7" t="s">
        <v>156</v>
      </c>
      <c r="C8" s="6" t="s">
        <v>634</v>
      </c>
      <c r="D8" s="7" t="s">
        <v>148</v>
      </c>
      <c r="E8" s="7" t="s">
        <v>148</v>
      </c>
      <c r="F8" s="7" t="s">
        <v>148</v>
      </c>
      <c r="G8" s="7" t="s">
        <v>148</v>
      </c>
      <c r="H8" s="7" t="s">
        <v>149</v>
      </c>
      <c r="I8" s="7" t="s">
        <v>150</v>
      </c>
      <c r="J8" s="6" t="n">
        <v>0.8</v>
      </c>
    </row>
    <row r="9" customFormat="false" ht="15" hidden="false" customHeight="false" outlineLevel="0" collapsed="false">
      <c r="A9" s="6" t="n">
        <v>5</v>
      </c>
      <c r="B9" s="7" t="s">
        <v>158</v>
      </c>
      <c r="C9" s="6" t="s">
        <v>634</v>
      </c>
      <c r="D9" s="7" t="s">
        <v>148</v>
      </c>
      <c r="E9" s="7" t="s">
        <v>148</v>
      </c>
      <c r="F9" s="7" t="s">
        <v>148</v>
      </c>
      <c r="G9" s="7" t="s">
        <v>148</v>
      </c>
      <c r="H9" s="7" t="s">
        <v>149</v>
      </c>
      <c r="I9" s="7" t="s">
        <v>150</v>
      </c>
      <c r="J9" s="6" t="n">
        <v>0.3</v>
      </c>
    </row>
    <row r="10" customFormat="false" ht="15" hidden="false" customHeight="false" outlineLevel="0" collapsed="false">
      <c r="A10" s="6" t="n">
        <v>6</v>
      </c>
      <c r="B10" s="7" t="s">
        <v>160</v>
      </c>
      <c r="C10" s="6" t="s">
        <v>634</v>
      </c>
      <c r="D10" s="7" t="s">
        <v>148</v>
      </c>
      <c r="E10" s="7" t="s">
        <v>161</v>
      </c>
      <c r="F10" s="7" t="s">
        <v>148</v>
      </c>
      <c r="G10" s="7" t="s">
        <v>148</v>
      </c>
      <c r="H10" s="7" t="s">
        <v>635</v>
      </c>
      <c r="I10" s="7" t="s">
        <v>150</v>
      </c>
      <c r="J10" s="6" t="n">
        <v>0.3</v>
      </c>
    </row>
    <row r="11" customFormat="false" ht="15" hidden="false" customHeight="false" outlineLevel="0" collapsed="false">
      <c r="A11" s="6" t="n">
        <v>7</v>
      </c>
      <c r="B11" s="7" t="s">
        <v>160</v>
      </c>
      <c r="C11" s="6" t="s">
        <v>636</v>
      </c>
      <c r="D11" s="7" t="s">
        <v>148</v>
      </c>
      <c r="E11" s="7" t="s">
        <v>148</v>
      </c>
      <c r="F11" s="7" t="s">
        <v>161</v>
      </c>
      <c r="G11" s="7" t="s">
        <v>148</v>
      </c>
      <c r="H11" s="7" t="s">
        <v>637</v>
      </c>
      <c r="I11" s="7" t="s">
        <v>150</v>
      </c>
      <c r="J11" s="6" t="n">
        <v>0.3</v>
      </c>
    </row>
    <row r="12" customFormat="false" ht="15" hidden="false" customHeight="false" outlineLevel="0" collapsed="false">
      <c r="A12" s="6" t="n">
        <v>8</v>
      </c>
      <c r="B12" s="7" t="s">
        <v>160</v>
      </c>
      <c r="C12" s="6" t="s">
        <v>638</v>
      </c>
      <c r="D12" s="7" t="s">
        <v>148</v>
      </c>
      <c r="E12" s="7" t="s">
        <v>148</v>
      </c>
      <c r="F12" s="7" t="s">
        <v>148</v>
      </c>
      <c r="G12" s="7" t="s">
        <v>161</v>
      </c>
      <c r="H12" s="7" t="s">
        <v>639</v>
      </c>
      <c r="I12" s="7" t="s">
        <v>150</v>
      </c>
      <c r="J12" s="6" t="n">
        <v>0.3</v>
      </c>
    </row>
    <row r="13" customFormat="false" ht="15" hidden="false" customHeight="false" outlineLevel="0" collapsed="false">
      <c r="A13" s="6" t="n">
        <v>9</v>
      </c>
      <c r="B13" s="7" t="s">
        <v>160</v>
      </c>
      <c r="C13" s="6" t="s">
        <v>640</v>
      </c>
      <c r="D13" s="7" t="s">
        <v>161</v>
      </c>
      <c r="E13" s="7" t="s">
        <v>148</v>
      </c>
      <c r="F13" s="7" t="s">
        <v>148</v>
      </c>
      <c r="G13" s="7" t="s">
        <v>148</v>
      </c>
      <c r="H13" s="7" t="s">
        <v>641</v>
      </c>
      <c r="I13" s="7" t="s">
        <v>150</v>
      </c>
      <c r="J13" s="6" t="n">
        <v>0.3</v>
      </c>
    </row>
    <row r="14" customFormat="false" ht="15" hidden="false" customHeight="false" outlineLevel="0" collapsed="false">
      <c r="A14" s="6" t="n">
        <v>10</v>
      </c>
      <c r="B14" s="7" t="s">
        <v>164</v>
      </c>
      <c r="C14" s="6" t="s">
        <v>634</v>
      </c>
      <c r="D14" s="7" t="s">
        <v>149</v>
      </c>
      <c r="E14" s="7" t="s">
        <v>149</v>
      </c>
      <c r="F14" s="7" t="s">
        <v>149</v>
      </c>
      <c r="G14" s="7" t="s">
        <v>149</v>
      </c>
      <c r="H14" s="7" t="s">
        <v>166</v>
      </c>
      <c r="I14" s="7" t="s">
        <v>149</v>
      </c>
      <c r="J14" s="6" t="n">
        <v>10</v>
      </c>
    </row>
    <row r="15" customFormat="false" ht="15" hidden="false" customHeight="false" outlineLevel="0" collapsed="false">
      <c r="A15" s="6" t="n">
        <v>11</v>
      </c>
      <c r="B15" s="7" t="s">
        <v>168</v>
      </c>
      <c r="C15" s="6" t="s">
        <v>634</v>
      </c>
      <c r="D15" s="7" t="s">
        <v>149</v>
      </c>
      <c r="E15" s="7" t="s">
        <v>169</v>
      </c>
      <c r="F15" s="7" t="s">
        <v>149</v>
      </c>
      <c r="G15" s="7" t="s">
        <v>149</v>
      </c>
      <c r="H15" s="7" t="s">
        <v>149</v>
      </c>
      <c r="I15" s="7" t="s">
        <v>635</v>
      </c>
      <c r="J15" s="6" t="n">
        <v>1</v>
      </c>
    </row>
    <row r="16" customFormat="false" ht="15" hidden="false" customHeight="false" outlineLevel="0" collapsed="false">
      <c r="A16" s="6" t="n">
        <v>12</v>
      </c>
      <c r="B16" s="7" t="s">
        <v>168</v>
      </c>
      <c r="C16" s="6" t="s">
        <v>636</v>
      </c>
      <c r="D16" s="7" t="s">
        <v>149</v>
      </c>
      <c r="E16" s="7" t="s">
        <v>149</v>
      </c>
      <c r="F16" s="7" t="s">
        <v>169</v>
      </c>
      <c r="G16" s="7" t="s">
        <v>149</v>
      </c>
      <c r="H16" s="7" t="s">
        <v>149</v>
      </c>
      <c r="I16" s="7" t="s">
        <v>637</v>
      </c>
      <c r="J16" s="6" t="n">
        <v>1</v>
      </c>
    </row>
    <row r="17" customFormat="false" ht="15" hidden="false" customHeight="false" outlineLevel="0" collapsed="false">
      <c r="A17" s="6" t="n">
        <v>13</v>
      </c>
      <c r="B17" s="7" t="s">
        <v>168</v>
      </c>
      <c r="C17" s="6" t="s">
        <v>638</v>
      </c>
      <c r="D17" s="7" t="s">
        <v>149</v>
      </c>
      <c r="E17" s="7" t="s">
        <v>149</v>
      </c>
      <c r="F17" s="7" t="s">
        <v>149</v>
      </c>
      <c r="G17" s="7" t="s">
        <v>169</v>
      </c>
      <c r="H17" s="7" t="s">
        <v>149</v>
      </c>
      <c r="I17" s="7" t="s">
        <v>639</v>
      </c>
      <c r="J17" s="6" t="n">
        <v>1</v>
      </c>
    </row>
    <row r="18" customFormat="false" ht="15" hidden="false" customHeight="false" outlineLevel="0" collapsed="false">
      <c r="A18" s="6" t="n">
        <v>14</v>
      </c>
      <c r="B18" s="7" t="s">
        <v>168</v>
      </c>
      <c r="C18" s="6" t="s">
        <v>640</v>
      </c>
      <c r="D18" s="7" t="s">
        <v>169</v>
      </c>
      <c r="E18" s="7" t="s">
        <v>149</v>
      </c>
      <c r="F18" s="7" t="s">
        <v>149</v>
      </c>
      <c r="G18" s="7" t="s">
        <v>149</v>
      </c>
      <c r="H18" s="7" t="s">
        <v>149</v>
      </c>
      <c r="I18" s="7" t="s">
        <v>641</v>
      </c>
      <c r="J18" s="6" t="n">
        <v>1</v>
      </c>
    </row>
    <row r="19" customFormat="false" ht="15" hidden="false" customHeight="false" outlineLevel="0" collapsed="false">
      <c r="A19" s="6" t="n">
        <v>15</v>
      </c>
      <c r="B19" s="7" t="s">
        <v>171</v>
      </c>
      <c r="C19" s="6" t="s">
        <v>634</v>
      </c>
      <c r="D19" s="7" t="s">
        <v>172</v>
      </c>
      <c r="E19" s="7" t="s">
        <v>173</v>
      </c>
      <c r="F19" s="7" t="s">
        <v>174</v>
      </c>
      <c r="G19" s="7" t="s">
        <v>173</v>
      </c>
      <c r="H19" s="7" t="s">
        <v>642</v>
      </c>
      <c r="I19" s="7" t="s">
        <v>150</v>
      </c>
      <c r="J19" s="6" t="n">
        <v>1</v>
      </c>
    </row>
    <row r="20" customFormat="false" ht="15" hidden="false" customHeight="false" outlineLevel="0" collapsed="false">
      <c r="A20" s="6" t="n">
        <v>16</v>
      </c>
      <c r="B20" s="7" t="s">
        <v>171</v>
      </c>
      <c r="C20" s="6" t="s">
        <v>636</v>
      </c>
      <c r="D20" s="7" t="s">
        <v>173</v>
      </c>
      <c r="E20" s="7" t="s">
        <v>172</v>
      </c>
      <c r="F20" s="7" t="s">
        <v>173</v>
      </c>
      <c r="G20" s="7" t="s">
        <v>174</v>
      </c>
      <c r="H20" s="7" t="s">
        <v>643</v>
      </c>
      <c r="I20" s="7" t="s">
        <v>150</v>
      </c>
      <c r="J20" s="6" t="n">
        <v>1</v>
      </c>
    </row>
    <row r="21" customFormat="false" ht="15" hidden="false" customHeight="false" outlineLevel="0" collapsed="false">
      <c r="A21" s="6" t="n">
        <v>17</v>
      </c>
      <c r="B21" s="7" t="s">
        <v>171</v>
      </c>
      <c r="C21" s="6" t="s">
        <v>638</v>
      </c>
      <c r="D21" s="7" t="s">
        <v>174</v>
      </c>
      <c r="E21" s="7" t="s">
        <v>173</v>
      </c>
      <c r="F21" s="7" t="s">
        <v>172</v>
      </c>
      <c r="G21" s="7" t="s">
        <v>173</v>
      </c>
      <c r="H21" s="7" t="s">
        <v>644</v>
      </c>
      <c r="I21" s="7" t="s">
        <v>150</v>
      </c>
      <c r="J21" s="6" t="n">
        <v>1</v>
      </c>
    </row>
    <row r="22" customFormat="false" ht="15" hidden="false" customHeight="false" outlineLevel="0" collapsed="false">
      <c r="A22" s="6" t="n">
        <v>18</v>
      </c>
      <c r="B22" s="7" t="s">
        <v>171</v>
      </c>
      <c r="C22" s="6" t="s">
        <v>640</v>
      </c>
      <c r="D22" s="7" t="s">
        <v>173</v>
      </c>
      <c r="E22" s="7" t="s">
        <v>174</v>
      </c>
      <c r="F22" s="7" t="s">
        <v>173</v>
      </c>
      <c r="G22" s="7" t="s">
        <v>172</v>
      </c>
      <c r="H22" s="7" t="s">
        <v>645</v>
      </c>
      <c r="I22" s="7" t="s">
        <v>150</v>
      </c>
      <c r="J22" s="6" t="n">
        <v>1</v>
      </c>
    </row>
    <row r="23" customFormat="false" ht="15" hidden="false" customHeight="false" outlineLevel="0" collapsed="false">
      <c r="A23" s="6" t="n">
        <v>19</v>
      </c>
      <c r="B23" s="7" t="s">
        <v>176</v>
      </c>
      <c r="C23" s="6" t="s">
        <v>634</v>
      </c>
      <c r="D23" s="7" t="s">
        <v>172</v>
      </c>
      <c r="E23" s="7" t="s">
        <v>173</v>
      </c>
      <c r="F23" s="7" t="s">
        <v>174</v>
      </c>
      <c r="G23" s="7" t="s">
        <v>173</v>
      </c>
      <c r="H23" s="7" t="s">
        <v>642</v>
      </c>
      <c r="I23" s="7" t="s">
        <v>150</v>
      </c>
      <c r="J23" s="6" t="n">
        <v>0.3</v>
      </c>
    </row>
    <row r="24" customFormat="false" ht="15" hidden="false" customHeight="false" outlineLevel="0" collapsed="false">
      <c r="A24" s="6" t="n">
        <v>20</v>
      </c>
      <c r="B24" s="7" t="s">
        <v>176</v>
      </c>
      <c r="C24" s="6" t="s">
        <v>636</v>
      </c>
      <c r="D24" s="7" t="s">
        <v>173</v>
      </c>
      <c r="E24" s="7" t="s">
        <v>172</v>
      </c>
      <c r="F24" s="7" t="s">
        <v>173</v>
      </c>
      <c r="G24" s="7" t="s">
        <v>174</v>
      </c>
      <c r="H24" s="7" t="s">
        <v>643</v>
      </c>
      <c r="I24" s="7" t="s">
        <v>150</v>
      </c>
      <c r="J24" s="6" t="n">
        <v>0.3</v>
      </c>
    </row>
    <row r="25" customFormat="false" ht="15" hidden="false" customHeight="false" outlineLevel="0" collapsed="false">
      <c r="A25" s="6" t="n">
        <v>21</v>
      </c>
      <c r="B25" s="7" t="s">
        <v>176</v>
      </c>
      <c r="C25" s="6" t="s">
        <v>638</v>
      </c>
      <c r="D25" s="7" t="s">
        <v>174</v>
      </c>
      <c r="E25" s="7" t="s">
        <v>173</v>
      </c>
      <c r="F25" s="7" t="s">
        <v>172</v>
      </c>
      <c r="G25" s="7" t="s">
        <v>173</v>
      </c>
      <c r="H25" s="7" t="s">
        <v>644</v>
      </c>
      <c r="I25" s="7" t="s">
        <v>150</v>
      </c>
      <c r="J25" s="6" t="n">
        <v>0.3</v>
      </c>
    </row>
    <row r="26" customFormat="false" ht="15" hidden="false" customHeight="false" outlineLevel="0" collapsed="false">
      <c r="A26" s="6" t="n">
        <v>22</v>
      </c>
      <c r="B26" s="7" t="s">
        <v>176</v>
      </c>
      <c r="C26" s="6" t="s">
        <v>640</v>
      </c>
      <c r="D26" s="7" t="s">
        <v>173</v>
      </c>
      <c r="E26" s="7" t="s">
        <v>174</v>
      </c>
      <c r="F26" s="7" t="s">
        <v>173</v>
      </c>
      <c r="G26" s="7" t="s">
        <v>172</v>
      </c>
      <c r="H26" s="7" t="s">
        <v>645</v>
      </c>
      <c r="I26" s="7" t="s">
        <v>150</v>
      </c>
      <c r="J26" s="6" t="n">
        <v>0.3</v>
      </c>
    </row>
    <row r="27" customFormat="false" ht="15" hidden="false" customHeight="false" outlineLevel="0" collapsed="false">
      <c r="A27" s="6" t="n">
        <v>23</v>
      </c>
      <c r="B27" s="7" t="s">
        <v>178</v>
      </c>
      <c r="C27" s="6" t="s">
        <v>634</v>
      </c>
      <c r="D27" s="7" t="s">
        <v>172</v>
      </c>
      <c r="E27" s="7" t="s">
        <v>173</v>
      </c>
      <c r="F27" s="7" t="s">
        <v>174</v>
      </c>
      <c r="G27" s="7" t="s">
        <v>173</v>
      </c>
      <c r="H27" s="7" t="s">
        <v>642</v>
      </c>
      <c r="I27" s="7" t="s">
        <v>150</v>
      </c>
      <c r="J27" s="6" t="n">
        <v>0.3</v>
      </c>
    </row>
    <row r="28" customFormat="false" ht="15" hidden="false" customHeight="false" outlineLevel="0" collapsed="false">
      <c r="A28" s="6" t="n">
        <v>24</v>
      </c>
      <c r="B28" s="7" t="s">
        <v>178</v>
      </c>
      <c r="C28" s="6" t="s">
        <v>636</v>
      </c>
      <c r="D28" s="7" t="s">
        <v>173</v>
      </c>
      <c r="E28" s="7" t="s">
        <v>172</v>
      </c>
      <c r="F28" s="7" t="s">
        <v>173</v>
      </c>
      <c r="G28" s="7" t="s">
        <v>174</v>
      </c>
      <c r="H28" s="7" t="s">
        <v>643</v>
      </c>
      <c r="I28" s="7" t="s">
        <v>150</v>
      </c>
      <c r="J28" s="6" t="n">
        <v>0.3</v>
      </c>
    </row>
    <row r="29" customFormat="false" ht="15" hidden="false" customHeight="false" outlineLevel="0" collapsed="false">
      <c r="A29" s="6" t="n">
        <v>25</v>
      </c>
      <c r="B29" s="7" t="s">
        <v>178</v>
      </c>
      <c r="C29" s="6" t="s">
        <v>638</v>
      </c>
      <c r="D29" s="7" t="s">
        <v>174</v>
      </c>
      <c r="E29" s="7" t="s">
        <v>173</v>
      </c>
      <c r="F29" s="7" t="s">
        <v>172</v>
      </c>
      <c r="G29" s="7" t="s">
        <v>173</v>
      </c>
      <c r="H29" s="7" t="s">
        <v>644</v>
      </c>
      <c r="I29" s="7" t="s">
        <v>150</v>
      </c>
      <c r="J29" s="6" t="n">
        <v>0.3</v>
      </c>
    </row>
    <row r="30" customFormat="false" ht="15" hidden="false" customHeight="false" outlineLevel="0" collapsed="false">
      <c r="A30" s="6" t="n">
        <v>26</v>
      </c>
      <c r="B30" s="7" t="s">
        <v>178</v>
      </c>
      <c r="C30" s="6" t="s">
        <v>640</v>
      </c>
      <c r="D30" s="7" t="s">
        <v>173</v>
      </c>
      <c r="E30" s="7" t="s">
        <v>174</v>
      </c>
      <c r="F30" s="7" t="s">
        <v>173</v>
      </c>
      <c r="G30" s="7" t="s">
        <v>172</v>
      </c>
      <c r="H30" s="7" t="s">
        <v>645</v>
      </c>
      <c r="I30" s="7" t="s">
        <v>150</v>
      </c>
      <c r="J30" s="6" t="n">
        <v>0.3</v>
      </c>
    </row>
    <row r="31" customFormat="false" ht="15" hidden="false" customHeight="false" outlineLevel="0" collapsed="false">
      <c r="A31" s="6" t="n">
        <v>27</v>
      </c>
      <c r="B31" s="7" t="s">
        <v>180</v>
      </c>
      <c r="C31" s="6" t="s">
        <v>634</v>
      </c>
      <c r="D31" s="7" t="s">
        <v>172</v>
      </c>
      <c r="E31" s="7" t="s">
        <v>173</v>
      </c>
      <c r="F31" s="7" t="s">
        <v>174</v>
      </c>
      <c r="G31" s="7" t="s">
        <v>173</v>
      </c>
      <c r="H31" s="7" t="s">
        <v>642</v>
      </c>
      <c r="I31" s="7" t="s">
        <v>150</v>
      </c>
      <c r="J31" s="6" t="n">
        <v>0.3</v>
      </c>
    </row>
    <row r="32" customFormat="false" ht="15" hidden="false" customHeight="false" outlineLevel="0" collapsed="false">
      <c r="A32" s="6" t="n">
        <v>28</v>
      </c>
      <c r="B32" s="7" t="s">
        <v>180</v>
      </c>
      <c r="C32" s="6" t="s">
        <v>636</v>
      </c>
      <c r="D32" s="7" t="s">
        <v>173</v>
      </c>
      <c r="E32" s="7" t="s">
        <v>172</v>
      </c>
      <c r="F32" s="7" t="s">
        <v>173</v>
      </c>
      <c r="G32" s="7" t="s">
        <v>174</v>
      </c>
      <c r="H32" s="7" t="s">
        <v>643</v>
      </c>
      <c r="I32" s="7" t="s">
        <v>150</v>
      </c>
      <c r="J32" s="6" t="n">
        <v>0.3</v>
      </c>
    </row>
    <row r="33" customFormat="false" ht="15" hidden="false" customHeight="false" outlineLevel="0" collapsed="false">
      <c r="A33" s="6" t="n">
        <v>29</v>
      </c>
      <c r="B33" s="7" t="s">
        <v>180</v>
      </c>
      <c r="C33" s="6" t="s">
        <v>638</v>
      </c>
      <c r="D33" s="7" t="s">
        <v>174</v>
      </c>
      <c r="E33" s="7" t="s">
        <v>173</v>
      </c>
      <c r="F33" s="7" t="s">
        <v>172</v>
      </c>
      <c r="G33" s="7" t="s">
        <v>173</v>
      </c>
      <c r="H33" s="7" t="s">
        <v>644</v>
      </c>
      <c r="I33" s="7" t="s">
        <v>150</v>
      </c>
      <c r="J33" s="6" t="n">
        <v>0.3</v>
      </c>
    </row>
    <row r="34" customFormat="false" ht="15" hidden="false" customHeight="false" outlineLevel="0" collapsed="false">
      <c r="A34" s="6" t="n">
        <v>30</v>
      </c>
      <c r="B34" s="7" t="s">
        <v>180</v>
      </c>
      <c r="C34" s="6" t="s">
        <v>640</v>
      </c>
      <c r="D34" s="7" t="s">
        <v>173</v>
      </c>
      <c r="E34" s="7" t="s">
        <v>174</v>
      </c>
      <c r="F34" s="7" t="s">
        <v>173</v>
      </c>
      <c r="G34" s="7" t="s">
        <v>172</v>
      </c>
      <c r="H34" s="7" t="s">
        <v>645</v>
      </c>
      <c r="I34" s="7" t="s">
        <v>150</v>
      </c>
      <c r="J34" s="6" t="n">
        <v>0.3</v>
      </c>
    </row>
    <row r="35" customFormat="false" ht="15" hidden="false" customHeight="false" outlineLevel="0" collapsed="false">
      <c r="A35" s="6" t="n">
        <v>31</v>
      </c>
      <c r="B35" s="7" t="s">
        <v>182</v>
      </c>
      <c r="C35" s="6" t="s">
        <v>634</v>
      </c>
      <c r="D35" s="7" t="s">
        <v>172</v>
      </c>
      <c r="E35" s="7" t="s">
        <v>173</v>
      </c>
      <c r="F35" s="7" t="s">
        <v>174</v>
      </c>
      <c r="G35" s="7" t="s">
        <v>173</v>
      </c>
      <c r="H35" s="7" t="s">
        <v>642</v>
      </c>
      <c r="I35" s="7" t="s">
        <v>150</v>
      </c>
      <c r="J35" s="6" t="n">
        <v>0.3</v>
      </c>
    </row>
    <row r="36" customFormat="false" ht="15" hidden="false" customHeight="false" outlineLevel="0" collapsed="false">
      <c r="A36" s="6" t="n">
        <v>32</v>
      </c>
      <c r="B36" s="7" t="s">
        <v>182</v>
      </c>
      <c r="C36" s="6" t="s">
        <v>636</v>
      </c>
      <c r="D36" s="7" t="s">
        <v>173</v>
      </c>
      <c r="E36" s="7" t="s">
        <v>172</v>
      </c>
      <c r="F36" s="7" t="s">
        <v>173</v>
      </c>
      <c r="G36" s="7" t="s">
        <v>174</v>
      </c>
      <c r="H36" s="7" t="s">
        <v>643</v>
      </c>
      <c r="I36" s="7" t="s">
        <v>150</v>
      </c>
      <c r="J36" s="6" t="n">
        <v>0.3</v>
      </c>
    </row>
    <row r="37" customFormat="false" ht="15" hidden="false" customHeight="false" outlineLevel="0" collapsed="false">
      <c r="A37" s="6" t="n">
        <v>33</v>
      </c>
      <c r="B37" s="7" t="s">
        <v>182</v>
      </c>
      <c r="C37" s="6" t="s">
        <v>638</v>
      </c>
      <c r="D37" s="7" t="s">
        <v>174</v>
      </c>
      <c r="E37" s="7" t="s">
        <v>173</v>
      </c>
      <c r="F37" s="7" t="s">
        <v>172</v>
      </c>
      <c r="G37" s="7" t="s">
        <v>173</v>
      </c>
      <c r="H37" s="7" t="s">
        <v>644</v>
      </c>
      <c r="I37" s="7" t="s">
        <v>150</v>
      </c>
      <c r="J37" s="6" t="n">
        <v>0.3</v>
      </c>
    </row>
    <row r="38" customFormat="false" ht="15" hidden="false" customHeight="false" outlineLevel="0" collapsed="false">
      <c r="A38" s="6" t="n">
        <v>34</v>
      </c>
      <c r="B38" s="7" t="s">
        <v>182</v>
      </c>
      <c r="C38" s="6" t="s">
        <v>640</v>
      </c>
      <c r="D38" s="7" t="s">
        <v>173</v>
      </c>
      <c r="E38" s="7" t="s">
        <v>174</v>
      </c>
      <c r="F38" s="7" t="s">
        <v>173</v>
      </c>
      <c r="G38" s="7" t="s">
        <v>172</v>
      </c>
      <c r="H38" s="7" t="s">
        <v>645</v>
      </c>
      <c r="I38" s="7" t="s">
        <v>150</v>
      </c>
      <c r="J38" s="6" t="n">
        <v>0.3</v>
      </c>
    </row>
    <row r="39" customFormat="false" ht="15" hidden="false" customHeight="false" outlineLevel="0" collapsed="false">
      <c r="A39" s="6" t="n">
        <v>35</v>
      </c>
      <c r="B39" s="7" t="s">
        <v>184</v>
      </c>
      <c r="C39" s="6" t="s">
        <v>634</v>
      </c>
      <c r="D39" s="7" t="s">
        <v>185</v>
      </c>
      <c r="E39" s="7" t="s">
        <v>186</v>
      </c>
      <c r="F39" s="7" t="s">
        <v>185</v>
      </c>
      <c r="G39" s="7" t="s">
        <v>186</v>
      </c>
      <c r="H39" s="7" t="s">
        <v>642</v>
      </c>
      <c r="I39" s="7" t="s">
        <v>642</v>
      </c>
      <c r="J39" s="6" t="n">
        <v>1</v>
      </c>
    </row>
    <row r="40" customFormat="false" ht="15" hidden="false" customHeight="false" outlineLevel="0" collapsed="false">
      <c r="A40" s="6" t="n">
        <v>36</v>
      </c>
      <c r="B40" s="7" t="s">
        <v>184</v>
      </c>
      <c r="C40" s="6" t="s">
        <v>636</v>
      </c>
      <c r="D40" s="7" t="s">
        <v>186</v>
      </c>
      <c r="E40" s="7" t="s">
        <v>185</v>
      </c>
      <c r="F40" s="7" t="s">
        <v>186</v>
      </c>
      <c r="G40" s="7" t="s">
        <v>185</v>
      </c>
      <c r="H40" s="7" t="s">
        <v>643</v>
      </c>
      <c r="I40" s="7" t="s">
        <v>643</v>
      </c>
      <c r="J40" s="6" t="n">
        <v>1</v>
      </c>
    </row>
    <row r="41" customFormat="false" ht="15" hidden="false" customHeight="false" outlineLevel="0" collapsed="false">
      <c r="A41" s="6" t="n">
        <v>37</v>
      </c>
      <c r="B41" s="7" t="s">
        <v>184</v>
      </c>
      <c r="C41" s="6" t="s">
        <v>638</v>
      </c>
      <c r="D41" s="7" t="s">
        <v>185</v>
      </c>
      <c r="E41" s="7" t="s">
        <v>186</v>
      </c>
      <c r="F41" s="7" t="s">
        <v>185</v>
      </c>
      <c r="G41" s="7" t="s">
        <v>186</v>
      </c>
      <c r="H41" s="7" t="s">
        <v>644</v>
      </c>
      <c r="I41" s="7" t="s">
        <v>644</v>
      </c>
      <c r="J41" s="6" t="n">
        <v>1</v>
      </c>
    </row>
    <row r="42" customFormat="false" ht="15" hidden="false" customHeight="false" outlineLevel="0" collapsed="false">
      <c r="A42" s="6" t="n">
        <v>38</v>
      </c>
      <c r="B42" s="7" t="s">
        <v>184</v>
      </c>
      <c r="C42" s="6" t="s">
        <v>640</v>
      </c>
      <c r="D42" s="7" t="s">
        <v>186</v>
      </c>
      <c r="E42" s="7" t="s">
        <v>185</v>
      </c>
      <c r="F42" s="7" t="s">
        <v>186</v>
      </c>
      <c r="G42" s="7" t="s">
        <v>185</v>
      </c>
      <c r="H42" s="7" t="s">
        <v>645</v>
      </c>
      <c r="I42" s="7" t="s">
        <v>645</v>
      </c>
      <c r="J42" s="6" t="n">
        <v>1</v>
      </c>
    </row>
    <row r="43" customFormat="false" ht="15" hidden="false" customHeight="false" outlineLevel="0" collapsed="false">
      <c r="A43" s="6" t="n">
        <v>39</v>
      </c>
      <c r="B43" s="7" t="s">
        <v>188</v>
      </c>
      <c r="C43" s="6" t="s">
        <v>634</v>
      </c>
      <c r="D43" s="7" t="s">
        <v>185</v>
      </c>
      <c r="E43" s="7" t="s">
        <v>186</v>
      </c>
      <c r="F43" s="7" t="s">
        <v>185</v>
      </c>
      <c r="G43" s="7" t="s">
        <v>186</v>
      </c>
      <c r="H43" s="7" t="s">
        <v>642</v>
      </c>
      <c r="I43" s="7" t="s">
        <v>642</v>
      </c>
      <c r="J43" s="6" t="n">
        <v>0.3</v>
      </c>
    </row>
    <row r="44" customFormat="false" ht="15" hidden="false" customHeight="false" outlineLevel="0" collapsed="false">
      <c r="A44" s="6" t="n">
        <v>40</v>
      </c>
      <c r="B44" s="7" t="s">
        <v>188</v>
      </c>
      <c r="C44" s="6" t="s">
        <v>636</v>
      </c>
      <c r="D44" s="7" t="s">
        <v>186</v>
      </c>
      <c r="E44" s="7" t="s">
        <v>185</v>
      </c>
      <c r="F44" s="7" t="s">
        <v>186</v>
      </c>
      <c r="G44" s="7" t="s">
        <v>185</v>
      </c>
      <c r="H44" s="7" t="s">
        <v>643</v>
      </c>
      <c r="I44" s="7" t="s">
        <v>643</v>
      </c>
      <c r="J44" s="6" t="n">
        <v>0.3</v>
      </c>
    </row>
    <row r="45" customFormat="false" ht="15" hidden="false" customHeight="false" outlineLevel="0" collapsed="false">
      <c r="A45" s="6" t="n">
        <v>41</v>
      </c>
      <c r="B45" s="7" t="s">
        <v>188</v>
      </c>
      <c r="C45" s="6" t="s">
        <v>638</v>
      </c>
      <c r="D45" s="7" t="s">
        <v>185</v>
      </c>
      <c r="E45" s="7" t="s">
        <v>186</v>
      </c>
      <c r="F45" s="7" t="s">
        <v>185</v>
      </c>
      <c r="G45" s="7" t="s">
        <v>186</v>
      </c>
      <c r="H45" s="7" t="s">
        <v>644</v>
      </c>
      <c r="I45" s="7" t="s">
        <v>644</v>
      </c>
      <c r="J45" s="6" t="n">
        <v>0.3</v>
      </c>
    </row>
    <row r="46" customFormat="false" ht="15" hidden="false" customHeight="false" outlineLevel="0" collapsed="false">
      <c r="A46" s="6" t="n">
        <v>42</v>
      </c>
      <c r="B46" s="7" t="s">
        <v>188</v>
      </c>
      <c r="C46" s="6" t="s">
        <v>640</v>
      </c>
      <c r="D46" s="7" t="s">
        <v>186</v>
      </c>
      <c r="E46" s="7" t="s">
        <v>185</v>
      </c>
      <c r="F46" s="7" t="s">
        <v>186</v>
      </c>
      <c r="G46" s="7" t="s">
        <v>185</v>
      </c>
      <c r="H46" s="7" t="s">
        <v>645</v>
      </c>
      <c r="I46" s="7" t="s">
        <v>645</v>
      </c>
      <c r="J46" s="6" t="n">
        <v>0.3</v>
      </c>
    </row>
    <row r="47" customFormat="false" ht="15" hidden="false" customHeight="false" outlineLevel="0" collapsed="false">
      <c r="A47" s="6" t="n">
        <v>43</v>
      </c>
      <c r="B47" s="7" t="s">
        <v>190</v>
      </c>
      <c r="C47" s="6" t="s">
        <v>634</v>
      </c>
      <c r="D47" s="7" t="s">
        <v>185</v>
      </c>
      <c r="E47" s="7" t="s">
        <v>186</v>
      </c>
      <c r="F47" s="7" t="s">
        <v>185</v>
      </c>
      <c r="G47" s="7" t="s">
        <v>186</v>
      </c>
      <c r="H47" s="7" t="s">
        <v>642</v>
      </c>
      <c r="I47" s="7" t="s">
        <v>642</v>
      </c>
      <c r="J47" s="6" t="n">
        <v>0.3</v>
      </c>
    </row>
    <row r="48" customFormat="false" ht="15" hidden="false" customHeight="false" outlineLevel="0" collapsed="false">
      <c r="A48" s="6" t="n">
        <v>44</v>
      </c>
      <c r="B48" s="7" t="s">
        <v>190</v>
      </c>
      <c r="C48" s="6" t="s">
        <v>636</v>
      </c>
      <c r="D48" s="7" t="s">
        <v>186</v>
      </c>
      <c r="E48" s="7" t="s">
        <v>185</v>
      </c>
      <c r="F48" s="7" t="s">
        <v>186</v>
      </c>
      <c r="G48" s="7" t="s">
        <v>185</v>
      </c>
      <c r="H48" s="7" t="s">
        <v>643</v>
      </c>
      <c r="I48" s="7" t="s">
        <v>643</v>
      </c>
      <c r="J48" s="6" t="n">
        <v>0.3</v>
      </c>
    </row>
    <row r="49" customFormat="false" ht="15" hidden="false" customHeight="false" outlineLevel="0" collapsed="false">
      <c r="A49" s="6" t="n">
        <v>45</v>
      </c>
      <c r="B49" s="7" t="s">
        <v>190</v>
      </c>
      <c r="C49" s="6" t="s">
        <v>638</v>
      </c>
      <c r="D49" s="7" t="s">
        <v>185</v>
      </c>
      <c r="E49" s="7" t="s">
        <v>186</v>
      </c>
      <c r="F49" s="7" t="s">
        <v>185</v>
      </c>
      <c r="G49" s="7" t="s">
        <v>186</v>
      </c>
      <c r="H49" s="7" t="s">
        <v>644</v>
      </c>
      <c r="I49" s="7" t="s">
        <v>644</v>
      </c>
      <c r="J49" s="6" t="n">
        <v>0.3</v>
      </c>
    </row>
    <row r="50" customFormat="false" ht="15" hidden="false" customHeight="false" outlineLevel="0" collapsed="false">
      <c r="A50" s="6" t="n">
        <v>46</v>
      </c>
      <c r="B50" s="7" t="s">
        <v>190</v>
      </c>
      <c r="C50" s="6" t="s">
        <v>640</v>
      </c>
      <c r="D50" s="7" t="s">
        <v>186</v>
      </c>
      <c r="E50" s="7" t="s">
        <v>185</v>
      </c>
      <c r="F50" s="7" t="s">
        <v>186</v>
      </c>
      <c r="G50" s="7" t="s">
        <v>185</v>
      </c>
      <c r="H50" s="7" t="s">
        <v>645</v>
      </c>
      <c r="I50" s="7" t="s">
        <v>645</v>
      </c>
      <c r="J50" s="6" t="n">
        <v>0.3</v>
      </c>
    </row>
    <row r="51" customFormat="false" ht="15" hidden="false" customHeight="false" outlineLevel="0" collapsed="false">
      <c r="A51" s="6" t="n">
        <v>47</v>
      </c>
      <c r="B51" s="7" t="s">
        <v>192</v>
      </c>
      <c r="C51" s="6" t="s">
        <v>634</v>
      </c>
      <c r="D51" s="7" t="s">
        <v>193</v>
      </c>
      <c r="E51" s="7" t="s">
        <v>186</v>
      </c>
      <c r="F51" s="7" t="s">
        <v>194</v>
      </c>
      <c r="G51" s="7" t="s">
        <v>186</v>
      </c>
      <c r="H51" s="7" t="s">
        <v>149</v>
      </c>
      <c r="I51" s="7" t="s">
        <v>642</v>
      </c>
      <c r="J51" s="6" t="n">
        <v>1</v>
      </c>
    </row>
    <row r="52" customFormat="false" ht="15" hidden="false" customHeight="false" outlineLevel="0" collapsed="false">
      <c r="A52" s="6" t="n">
        <v>48</v>
      </c>
      <c r="B52" s="7" t="s">
        <v>192</v>
      </c>
      <c r="C52" s="6" t="s">
        <v>636</v>
      </c>
      <c r="D52" s="7" t="s">
        <v>186</v>
      </c>
      <c r="E52" s="7" t="s">
        <v>193</v>
      </c>
      <c r="F52" s="7" t="s">
        <v>186</v>
      </c>
      <c r="G52" s="7" t="s">
        <v>194</v>
      </c>
      <c r="H52" s="7" t="s">
        <v>149</v>
      </c>
      <c r="I52" s="7" t="s">
        <v>643</v>
      </c>
      <c r="J52" s="6" t="n">
        <v>1</v>
      </c>
    </row>
    <row r="53" customFormat="false" ht="15" hidden="false" customHeight="false" outlineLevel="0" collapsed="false">
      <c r="A53" s="6" t="n">
        <v>49</v>
      </c>
      <c r="B53" s="7" t="s">
        <v>192</v>
      </c>
      <c r="C53" s="6" t="s">
        <v>638</v>
      </c>
      <c r="D53" s="7" t="s">
        <v>194</v>
      </c>
      <c r="E53" s="7" t="s">
        <v>186</v>
      </c>
      <c r="F53" s="7" t="s">
        <v>193</v>
      </c>
      <c r="G53" s="7" t="s">
        <v>186</v>
      </c>
      <c r="H53" s="7" t="s">
        <v>149</v>
      </c>
      <c r="I53" s="7" t="s">
        <v>644</v>
      </c>
      <c r="J53" s="6" t="n">
        <v>1</v>
      </c>
    </row>
    <row r="54" customFormat="false" ht="15" hidden="false" customHeight="false" outlineLevel="0" collapsed="false">
      <c r="A54" s="6" t="n">
        <v>50</v>
      </c>
      <c r="B54" s="7" t="s">
        <v>192</v>
      </c>
      <c r="C54" s="6" t="s">
        <v>640</v>
      </c>
      <c r="D54" s="7" t="s">
        <v>186</v>
      </c>
      <c r="E54" s="7" t="s">
        <v>194</v>
      </c>
      <c r="F54" s="7" t="s">
        <v>186</v>
      </c>
      <c r="G54" s="7" t="s">
        <v>193</v>
      </c>
      <c r="H54" s="7" t="s">
        <v>149</v>
      </c>
      <c r="I54" s="7" t="s">
        <v>645</v>
      </c>
      <c r="J54" s="6" t="n">
        <v>1</v>
      </c>
    </row>
    <row r="55" customFormat="false" ht="15" hidden="false" customHeight="false" outlineLevel="0" collapsed="false">
      <c r="A55" s="6" t="n">
        <v>51</v>
      </c>
      <c r="B55" s="7" t="s">
        <v>196</v>
      </c>
      <c r="C55" s="6" t="s">
        <v>634</v>
      </c>
      <c r="D55" s="7" t="s">
        <v>193</v>
      </c>
      <c r="E55" s="7" t="s">
        <v>186</v>
      </c>
      <c r="F55" s="7" t="s">
        <v>194</v>
      </c>
      <c r="G55" s="7" t="s">
        <v>186</v>
      </c>
      <c r="H55" s="7" t="s">
        <v>149</v>
      </c>
      <c r="I55" s="7" t="s">
        <v>642</v>
      </c>
      <c r="J55" s="6" t="n">
        <v>0.3</v>
      </c>
    </row>
    <row r="56" customFormat="false" ht="15" hidden="false" customHeight="false" outlineLevel="0" collapsed="false">
      <c r="A56" s="6" t="n">
        <v>52</v>
      </c>
      <c r="B56" s="7" t="s">
        <v>196</v>
      </c>
      <c r="C56" s="6" t="s">
        <v>636</v>
      </c>
      <c r="D56" s="7" t="s">
        <v>186</v>
      </c>
      <c r="E56" s="7" t="s">
        <v>193</v>
      </c>
      <c r="F56" s="7" t="s">
        <v>186</v>
      </c>
      <c r="G56" s="7" t="s">
        <v>194</v>
      </c>
      <c r="H56" s="7" t="s">
        <v>149</v>
      </c>
      <c r="I56" s="7" t="s">
        <v>643</v>
      </c>
      <c r="J56" s="6" t="n">
        <v>0.3</v>
      </c>
    </row>
    <row r="57" customFormat="false" ht="15" hidden="false" customHeight="false" outlineLevel="0" collapsed="false">
      <c r="A57" s="6" t="n">
        <v>53</v>
      </c>
      <c r="B57" s="7" t="s">
        <v>196</v>
      </c>
      <c r="C57" s="6" t="s">
        <v>638</v>
      </c>
      <c r="D57" s="7" t="s">
        <v>194</v>
      </c>
      <c r="E57" s="7" t="s">
        <v>186</v>
      </c>
      <c r="F57" s="7" t="s">
        <v>193</v>
      </c>
      <c r="G57" s="7" t="s">
        <v>186</v>
      </c>
      <c r="H57" s="7" t="s">
        <v>149</v>
      </c>
      <c r="I57" s="7" t="s">
        <v>644</v>
      </c>
      <c r="J57" s="6" t="n">
        <v>0.3</v>
      </c>
    </row>
    <row r="58" customFormat="false" ht="15" hidden="false" customHeight="false" outlineLevel="0" collapsed="false">
      <c r="A58" s="6" t="n">
        <v>54</v>
      </c>
      <c r="B58" s="7" t="s">
        <v>196</v>
      </c>
      <c r="C58" s="6" t="s">
        <v>640</v>
      </c>
      <c r="D58" s="7" t="s">
        <v>186</v>
      </c>
      <c r="E58" s="7" t="s">
        <v>194</v>
      </c>
      <c r="F58" s="7" t="s">
        <v>186</v>
      </c>
      <c r="G58" s="7" t="s">
        <v>193</v>
      </c>
      <c r="H58" s="7" t="s">
        <v>149</v>
      </c>
      <c r="I58" s="7" t="s">
        <v>645</v>
      </c>
      <c r="J58" s="6" t="n">
        <v>0.3</v>
      </c>
    </row>
    <row r="59" customFormat="false" ht="15" hidden="false" customHeight="false" outlineLevel="0" collapsed="false">
      <c r="A59" s="6" t="n">
        <v>55</v>
      </c>
      <c r="B59" s="7" t="s">
        <v>198</v>
      </c>
      <c r="C59" s="6" t="s">
        <v>634</v>
      </c>
      <c r="D59" s="7" t="s">
        <v>193</v>
      </c>
      <c r="E59" s="7" t="s">
        <v>186</v>
      </c>
      <c r="F59" s="7" t="s">
        <v>194</v>
      </c>
      <c r="G59" s="7" t="s">
        <v>186</v>
      </c>
      <c r="H59" s="7" t="s">
        <v>149</v>
      </c>
      <c r="I59" s="7" t="s">
        <v>642</v>
      </c>
      <c r="J59" s="6" t="n">
        <v>0.3</v>
      </c>
    </row>
    <row r="60" customFormat="false" ht="15" hidden="false" customHeight="false" outlineLevel="0" collapsed="false">
      <c r="A60" s="6" t="n">
        <v>56</v>
      </c>
      <c r="B60" s="7" t="s">
        <v>198</v>
      </c>
      <c r="C60" s="6" t="s">
        <v>636</v>
      </c>
      <c r="D60" s="7" t="s">
        <v>186</v>
      </c>
      <c r="E60" s="7" t="s">
        <v>193</v>
      </c>
      <c r="F60" s="7" t="s">
        <v>186</v>
      </c>
      <c r="G60" s="7" t="s">
        <v>194</v>
      </c>
      <c r="H60" s="7" t="s">
        <v>149</v>
      </c>
      <c r="I60" s="7" t="s">
        <v>643</v>
      </c>
      <c r="J60" s="6" t="n">
        <v>0.3</v>
      </c>
    </row>
    <row r="61" customFormat="false" ht="15" hidden="false" customHeight="false" outlineLevel="0" collapsed="false">
      <c r="A61" s="6" t="n">
        <v>57</v>
      </c>
      <c r="B61" s="7" t="s">
        <v>198</v>
      </c>
      <c r="C61" s="6" t="s">
        <v>638</v>
      </c>
      <c r="D61" s="7" t="s">
        <v>194</v>
      </c>
      <c r="E61" s="7" t="s">
        <v>186</v>
      </c>
      <c r="F61" s="7" t="s">
        <v>193</v>
      </c>
      <c r="G61" s="7" t="s">
        <v>186</v>
      </c>
      <c r="H61" s="7" t="s">
        <v>149</v>
      </c>
      <c r="I61" s="7" t="s">
        <v>644</v>
      </c>
      <c r="J61" s="6" t="n">
        <v>0.3</v>
      </c>
    </row>
    <row r="62" customFormat="false" ht="15" hidden="false" customHeight="false" outlineLevel="0" collapsed="false">
      <c r="A62" s="6" t="n">
        <v>58</v>
      </c>
      <c r="B62" s="7" t="s">
        <v>198</v>
      </c>
      <c r="C62" s="6" t="s">
        <v>640</v>
      </c>
      <c r="D62" s="7" t="s">
        <v>186</v>
      </c>
      <c r="E62" s="7" t="s">
        <v>194</v>
      </c>
      <c r="F62" s="7" t="s">
        <v>186</v>
      </c>
      <c r="G62" s="7" t="s">
        <v>193</v>
      </c>
      <c r="H62" s="7" t="s">
        <v>149</v>
      </c>
      <c r="I62" s="7" t="s">
        <v>645</v>
      </c>
      <c r="J62" s="6" t="n">
        <v>0.3</v>
      </c>
    </row>
    <row r="63" customFormat="false" ht="15" hidden="false" customHeight="false" outlineLevel="0" collapsed="false">
      <c r="A63" s="6" t="n">
        <v>59</v>
      </c>
      <c r="B63" s="7" t="s">
        <v>200</v>
      </c>
      <c r="C63" s="6" t="s">
        <v>634</v>
      </c>
      <c r="D63" s="7" t="s">
        <v>193</v>
      </c>
      <c r="E63" s="7" t="s">
        <v>201</v>
      </c>
      <c r="F63" s="7" t="s">
        <v>194</v>
      </c>
      <c r="G63" s="7" t="s">
        <v>186</v>
      </c>
      <c r="H63" s="7" t="s">
        <v>149</v>
      </c>
      <c r="I63" s="7" t="s">
        <v>642</v>
      </c>
      <c r="J63" s="6" t="n">
        <v>1</v>
      </c>
    </row>
    <row r="64" customFormat="false" ht="15" hidden="false" customHeight="false" outlineLevel="0" collapsed="false">
      <c r="A64" s="6" t="n">
        <v>60</v>
      </c>
      <c r="B64" s="7" t="s">
        <v>200</v>
      </c>
      <c r="C64" s="6" t="s">
        <v>636</v>
      </c>
      <c r="D64" s="7" t="s">
        <v>186</v>
      </c>
      <c r="E64" s="7" t="s">
        <v>193</v>
      </c>
      <c r="F64" s="7" t="s">
        <v>201</v>
      </c>
      <c r="G64" s="7" t="s">
        <v>194</v>
      </c>
      <c r="H64" s="7" t="s">
        <v>149</v>
      </c>
      <c r="I64" s="7" t="s">
        <v>643</v>
      </c>
      <c r="J64" s="6" t="n">
        <v>1</v>
      </c>
    </row>
    <row r="65" customFormat="false" ht="15" hidden="false" customHeight="false" outlineLevel="0" collapsed="false">
      <c r="A65" s="6" t="n">
        <v>61</v>
      </c>
      <c r="B65" s="7" t="s">
        <v>200</v>
      </c>
      <c r="C65" s="6" t="s">
        <v>638</v>
      </c>
      <c r="D65" s="7" t="s">
        <v>194</v>
      </c>
      <c r="E65" s="7" t="s">
        <v>186</v>
      </c>
      <c r="F65" s="7" t="s">
        <v>193</v>
      </c>
      <c r="G65" s="7" t="s">
        <v>201</v>
      </c>
      <c r="H65" s="7" t="s">
        <v>149</v>
      </c>
      <c r="I65" s="7" t="s">
        <v>644</v>
      </c>
      <c r="J65" s="6" t="n">
        <v>1</v>
      </c>
    </row>
    <row r="66" customFormat="false" ht="15" hidden="false" customHeight="false" outlineLevel="0" collapsed="false">
      <c r="A66" s="6" t="n">
        <v>62</v>
      </c>
      <c r="B66" s="7" t="s">
        <v>200</v>
      </c>
      <c r="C66" s="6" t="s">
        <v>640</v>
      </c>
      <c r="D66" s="7" t="s">
        <v>201</v>
      </c>
      <c r="E66" s="7" t="s">
        <v>194</v>
      </c>
      <c r="F66" s="7" t="s">
        <v>186</v>
      </c>
      <c r="G66" s="7" t="s">
        <v>193</v>
      </c>
      <c r="H66" s="7" t="s">
        <v>149</v>
      </c>
      <c r="I66" s="7" t="s">
        <v>645</v>
      </c>
      <c r="J66" s="6" t="n">
        <v>1</v>
      </c>
    </row>
    <row r="67" customFormat="false" ht="15" hidden="false" customHeight="false" outlineLevel="0" collapsed="false">
      <c r="A67" s="6" t="n">
        <v>63</v>
      </c>
      <c r="B67" s="7" t="s">
        <v>203</v>
      </c>
      <c r="C67" s="6" t="s">
        <v>634</v>
      </c>
      <c r="D67" s="7" t="s">
        <v>172</v>
      </c>
      <c r="E67" s="7" t="s">
        <v>174</v>
      </c>
      <c r="F67" s="7" t="s">
        <v>173</v>
      </c>
      <c r="G67" s="7" t="s">
        <v>173</v>
      </c>
      <c r="H67" s="7" t="s">
        <v>646</v>
      </c>
      <c r="I67" s="7" t="s">
        <v>150</v>
      </c>
      <c r="J67" s="6" t="n">
        <v>1</v>
      </c>
    </row>
    <row r="68" customFormat="false" ht="15" hidden="false" customHeight="false" outlineLevel="0" collapsed="false">
      <c r="A68" s="6" t="n">
        <v>64</v>
      </c>
      <c r="B68" s="7" t="s">
        <v>203</v>
      </c>
      <c r="C68" s="6" t="s">
        <v>636</v>
      </c>
      <c r="D68" s="7" t="s">
        <v>173</v>
      </c>
      <c r="E68" s="7" t="s">
        <v>172</v>
      </c>
      <c r="F68" s="7" t="s">
        <v>174</v>
      </c>
      <c r="G68" s="7" t="s">
        <v>173</v>
      </c>
      <c r="H68" s="7" t="s">
        <v>647</v>
      </c>
      <c r="I68" s="7" t="s">
        <v>150</v>
      </c>
      <c r="J68" s="6" t="n">
        <v>1</v>
      </c>
    </row>
    <row r="69" customFormat="false" ht="15" hidden="false" customHeight="false" outlineLevel="0" collapsed="false">
      <c r="A69" s="6" t="n">
        <v>65</v>
      </c>
      <c r="B69" s="7" t="s">
        <v>203</v>
      </c>
      <c r="C69" s="6" t="s">
        <v>638</v>
      </c>
      <c r="D69" s="7" t="s">
        <v>173</v>
      </c>
      <c r="E69" s="7" t="s">
        <v>173</v>
      </c>
      <c r="F69" s="7" t="s">
        <v>172</v>
      </c>
      <c r="G69" s="7" t="s">
        <v>174</v>
      </c>
      <c r="H69" s="7" t="s">
        <v>648</v>
      </c>
      <c r="I69" s="7" t="s">
        <v>150</v>
      </c>
      <c r="J69" s="6" t="n">
        <v>1</v>
      </c>
    </row>
    <row r="70" customFormat="false" ht="15" hidden="false" customHeight="false" outlineLevel="0" collapsed="false">
      <c r="A70" s="6" t="n">
        <v>66</v>
      </c>
      <c r="B70" s="7" t="s">
        <v>203</v>
      </c>
      <c r="C70" s="6" t="s">
        <v>640</v>
      </c>
      <c r="D70" s="7" t="s">
        <v>174</v>
      </c>
      <c r="E70" s="7" t="s">
        <v>173</v>
      </c>
      <c r="F70" s="7" t="s">
        <v>173</v>
      </c>
      <c r="G70" s="7" t="s">
        <v>172</v>
      </c>
      <c r="H70" s="7" t="s">
        <v>649</v>
      </c>
      <c r="I70" s="7" t="s">
        <v>150</v>
      </c>
      <c r="J70" s="6" t="n">
        <v>1</v>
      </c>
    </row>
    <row r="71" customFormat="false" ht="15" hidden="false" customHeight="false" outlineLevel="0" collapsed="false">
      <c r="A71" s="6" t="n">
        <v>67</v>
      </c>
      <c r="B71" s="7" t="s">
        <v>206</v>
      </c>
      <c r="C71" s="6" t="s">
        <v>634</v>
      </c>
      <c r="D71" s="7" t="s">
        <v>185</v>
      </c>
      <c r="E71" s="7" t="s">
        <v>185</v>
      </c>
      <c r="F71" s="7" t="s">
        <v>186</v>
      </c>
      <c r="G71" s="7" t="s">
        <v>186</v>
      </c>
      <c r="H71" s="7" t="s">
        <v>646</v>
      </c>
      <c r="I71" s="7" t="s">
        <v>646</v>
      </c>
      <c r="J71" s="6" t="n">
        <v>1</v>
      </c>
    </row>
    <row r="72" customFormat="false" ht="15" hidden="false" customHeight="false" outlineLevel="0" collapsed="false">
      <c r="A72" s="6" t="n">
        <v>68</v>
      </c>
      <c r="B72" s="7" t="s">
        <v>206</v>
      </c>
      <c r="C72" s="6" t="s">
        <v>636</v>
      </c>
      <c r="D72" s="7" t="s">
        <v>186</v>
      </c>
      <c r="E72" s="7" t="s">
        <v>185</v>
      </c>
      <c r="F72" s="7" t="s">
        <v>185</v>
      </c>
      <c r="G72" s="7" t="s">
        <v>186</v>
      </c>
      <c r="H72" s="7" t="s">
        <v>647</v>
      </c>
      <c r="I72" s="7" t="s">
        <v>647</v>
      </c>
      <c r="J72" s="6" t="n">
        <v>1</v>
      </c>
    </row>
    <row r="73" customFormat="false" ht="15" hidden="false" customHeight="false" outlineLevel="0" collapsed="false">
      <c r="A73" s="6" t="n">
        <v>69</v>
      </c>
      <c r="B73" s="7" t="s">
        <v>206</v>
      </c>
      <c r="C73" s="6" t="s">
        <v>638</v>
      </c>
      <c r="D73" s="7" t="s">
        <v>186</v>
      </c>
      <c r="E73" s="7" t="s">
        <v>186</v>
      </c>
      <c r="F73" s="7" t="s">
        <v>185</v>
      </c>
      <c r="G73" s="7" t="s">
        <v>185</v>
      </c>
      <c r="H73" s="7" t="s">
        <v>648</v>
      </c>
      <c r="I73" s="7" t="s">
        <v>648</v>
      </c>
      <c r="J73" s="6" t="n">
        <v>1</v>
      </c>
    </row>
    <row r="74" customFormat="false" ht="15" hidden="false" customHeight="false" outlineLevel="0" collapsed="false">
      <c r="A74" s="6" t="n">
        <v>70</v>
      </c>
      <c r="B74" s="7" t="s">
        <v>206</v>
      </c>
      <c r="C74" s="6" t="s">
        <v>640</v>
      </c>
      <c r="D74" s="7" t="s">
        <v>185</v>
      </c>
      <c r="E74" s="7" t="s">
        <v>186</v>
      </c>
      <c r="F74" s="7" t="s">
        <v>186</v>
      </c>
      <c r="G74" s="7" t="s">
        <v>185</v>
      </c>
      <c r="H74" s="7" t="s">
        <v>649</v>
      </c>
      <c r="I74" s="7" t="s">
        <v>649</v>
      </c>
      <c r="J74" s="6" t="n">
        <v>1</v>
      </c>
    </row>
    <row r="75" customFormat="false" ht="15" hidden="false" customHeight="false" outlineLevel="0" collapsed="false">
      <c r="A75" s="6" t="n">
        <v>71</v>
      </c>
      <c r="B75" s="7" t="s">
        <v>208</v>
      </c>
      <c r="C75" s="6" t="s">
        <v>634</v>
      </c>
      <c r="D75" s="7" t="s">
        <v>193</v>
      </c>
      <c r="E75" s="7" t="s">
        <v>194</v>
      </c>
      <c r="F75" s="7" t="s">
        <v>186</v>
      </c>
      <c r="G75" s="7" t="s">
        <v>186</v>
      </c>
      <c r="H75" s="7" t="s">
        <v>149</v>
      </c>
      <c r="I75" s="7" t="s">
        <v>646</v>
      </c>
      <c r="J75" s="6" t="n">
        <v>1</v>
      </c>
    </row>
    <row r="76" customFormat="false" ht="15" hidden="false" customHeight="false" outlineLevel="0" collapsed="false">
      <c r="A76" s="6" t="n">
        <v>72</v>
      </c>
      <c r="B76" s="7" t="s">
        <v>208</v>
      </c>
      <c r="C76" s="6" t="s">
        <v>636</v>
      </c>
      <c r="D76" s="7" t="s">
        <v>186</v>
      </c>
      <c r="E76" s="7" t="s">
        <v>193</v>
      </c>
      <c r="F76" s="7" t="s">
        <v>194</v>
      </c>
      <c r="G76" s="7" t="s">
        <v>186</v>
      </c>
      <c r="H76" s="7" t="s">
        <v>149</v>
      </c>
      <c r="I76" s="7" t="s">
        <v>647</v>
      </c>
      <c r="J76" s="6" t="n">
        <v>1</v>
      </c>
    </row>
    <row r="77" customFormat="false" ht="15" hidden="false" customHeight="false" outlineLevel="0" collapsed="false">
      <c r="A77" s="6" t="n">
        <v>73</v>
      </c>
      <c r="B77" s="7" t="s">
        <v>208</v>
      </c>
      <c r="C77" s="6" t="s">
        <v>638</v>
      </c>
      <c r="D77" s="7" t="s">
        <v>186</v>
      </c>
      <c r="E77" s="7" t="s">
        <v>186</v>
      </c>
      <c r="F77" s="7" t="s">
        <v>193</v>
      </c>
      <c r="G77" s="7" t="s">
        <v>194</v>
      </c>
      <c r="H77" s="7" t="s">
        <v>149</v>
      </c>
      <c r="I77" s="7" t="s">
        <v>648</v>
      </c>
      <c r="J77" s="6" t="n">
        <v>1</v>
      </c>
    </row>
    <row r="78" customFormat="false" ht="15" hidden="false" customHeight="false" outlineLevel="0" collapsed="false">
      <c r="A78" s="6" t="n">
        <v>74</v>
      </c>
      <c r="B78" s="7" t="s">
        <v>208</v>
      </c>
      <c r="C78" s="6" t="s">
        <v>640</v>
      </c>
      <c r="D78" s="7" t="s">
        <v>194</v>
      </c>
      <c r="E78" s="7" t="s">
        <v>186</v>
      </c>
      <c r="F78" s="7" t="s">
        <v>186</v>
      </c>
      <c r="G78" s="7" t="s">
        <v>193</v>
      </c>
      <c r="H78" s="7" t="s">
        <v>149</v>
      </c>
      <c r="I78" s="7" t="s">
        <v>649</v>
      </c>
      <c r="J78" s="6" t="n">
        <v>1</v>
      </c>
    </row>
    <row r="79" customFormat="false" ht="15" hidden="false" customHeight="false" outlineLevel="0" collapsed="false">
      <c r="A79" s="6" t="n">
        <v>75</v>
      </c>
      <c r="B79" s="7" t="s">
        <v>210</v>
      </c>
      <c r="C79" s="6" t="s">
        <v>634</v>
      </c>
      <c r="D79" s="7" t="s">
        <v>211</v>
      </c>
      <c r="E79" s="7" t="s">
        <v>212</v>
      </c>
      <c r="F79" s="7" t="s">
        <v>213</v>
      </c>
      <c r="G79" s="7" t="s">
        <v>213</v>
      </c>
      <c r="H79" s="7" t="s">
        <v>650</v>
      </c>
      <c r="I79" s="7" t="s">
        <v>150</v>
      </c>
      <c r="J79" s="6" t="n">
        <v>1</v>
      </c>
    </row>
    <row r="80" customFormat="false" ht="15" hidden="false" customHeight="false" outlineLevel="0" collapsed="false">
      <c r="A80" s="6" t="n">
        <v>76</v>
      </c>
      <c r="B80" s="7" t="s">
        <v>210</v>
      </c>
      <c r="C80" s="6" t="s">
        <v>636</v>
      </c>
      <c r="D80" s="7" t="s">
        <v>213</v>
      </c>
      <c r="E80" s="7" t="s">
        <v>211</v>
      </c>
      <c r="F80" s="7" t="s">
        <v>212</v>
      </c>
      <c r="G80" s="7" t="s">
        <v>213</v>
      </c>
      <c r="H80" s="7" t="s">
        <v>651</v>
      </c>
      <c r="I80" s="7" t="s">
        <v>150</v>
      </c>
      <c r="J80" s="6" t="n">
        <v>1</v>
      </c>
    </row>
    <row r="81" customFormat="false" ht="15" hidden="false" customHeight="false" outlineLevel="0" collapsed="false">
      <c r="A81" s="6" t="n">
        <v>77</v>
      </c>
      <c r="B81" s="7" t="s">
        <v>210</v>
      </c>
      <c r="C81" s="6" t="s">
        <v>638</v>
      </c>
      <c r="D81" s="7" t="s">
        <v>213</v>
      </c>
      <c r="E81" s="7" t="s">
        <v>213</v>
      </c>
      <c r="F81" s="7" t="s">
        <v>211</v>
      </c>
      <c r="G81" s="7" t="s">
        <v>212</v>
      </c>
      <c r="H81" s="7" t="s">
        <v>652</v>
      </c>
      <c r="I81" s="7" t="s">
        <v>150</v>
      </c>
      <c r="J81" s="6" t="n">
        <v>1</v>
      </c>
    </row>
    <row r="82" customFormat="false" ht="15" hidden="false" customHeight="false" outlineLevel="0" collapsed="false">
      <c r="A82" s="6" t="n">
        <v>78</v>
      </c>
      <c r="B82" s="7" t="s">
        <v>210</v>
      </c>
      <c r="C82" s="6" t="s">
        <v>640</v>
      </c>
      <c r="D82" s="7" t="s">
        <v>212</v>
      </c>
      <c r="E82" s="7" t="s">
        <v>213</v>
      </c>
      <c r="F82" s="7" t="s">
        <v>213</v>
      </c>
      <c r="G82" s="7" t="s">
        <v>211</v>
      </c>
      <c r="H82" s="7" t="s">
        <v>653</v>
      </c>
      <c r="I82" s="7" t="s">
        <v>150</v>
      </c>
      <c r="J82" s="6" t="n">
        <v>1</v>
      </c>
    </row>
    <row r="83" customFormat="false" ht="15" hidden="false" customHeight="false" outlineLevel="0" collapsed="false">
      <c r="A83" s="6" t="n">
        <v>79</v>
      </c>
      <c r="B83" s="7" t="s">
        <v>216</v>
      </c>
      <c r="C83" s="6" t="s">
        <v>634</v>
      </c>
      <c r="D83" s="7" t="s">
        <v>211</v>
      </c>
      <c r="E83" s="7" t="s">
        <v>212</v>
      </c>
      <c r="F83" s="7" t="s">
        <v>213</v>
      </c>
      <c r="G83" s="7" t="s">
        <v>213</v>
      </c>
      <c r="H83" s="7" t="s">
        <v>650</v>
      </c>
      <c r="I83" s="7" t="s">
        <v>650</v>
      </c>
      <c r="J83" s="6" t="n">
        <v>3</v>
      </c>
    </row>
    <row r="84" customFormat="false" ht="15" hidden="false" customHeight="false" outlineLevel="0" collapsed="false">
      <c r="A84" s="6" t="n">
        <v>80</v>
      </c>
      <c r="B84" s="7" t="s">
        <v>216</v>
      </c>
      <c r="C84" s="6" t="s">
        <v>636</v>
      </c>
      <c r="D84" s="7" t="s">
        <v>213</v>
      </c>
      <c r="E84" s="7" t="s">
        <v>211</v>
      </c>
      <c r="F84" s="7" t="s">
        <v>212</v>
      </c>
      <c r="G84" s="7" t="s">
        <v>213</v>
      </c>
      <c r="H84" s="7" t="s">
        <v>651</v>
      </c>
      <c r="I84" s="7" t="s">
        <v>651</v>
      </c>
      <c r="J84" s="6" t="n">
        <v>3</v>
      </c>
    </row>
    <row r="85" customFormat="false" ht="15" hidden="false" customHeight="false" outlineLevel="0" collapsed="false">
      <c r="A85" s="6" t="n">
        <v>81</v>
      </c>
      <c r="B85" s="7" t="s">
        <v>216</v>
      </c>
      <c r="C85" s="6" t="s">
        <v>638</v>
      </c>
      <c r="D85" s="7" t="s">
        <v>213</v>
      </c>
      <c r="E85" s="7" t="s">
        <v>213</v>
      </c>
      <c r="F85" s="7" t="s">
        <v>211</v>
      </c>
      <c r="G85" s="7" t="s">
        <v>212</v>
      </c>
      <c r="H85" s="7" t="s">
        <v>652</v>
      </c>
      <c r="I85" s="7" t="s">
        <v>652</v>
      </c>
      <c r="J85" s="6" t="n">
        <v>3</v>
      </c>
    </row>
    <row r="86" customFormat="false" ht="15" hidden="false" customHeight="false" outlineLevel="0" collapsed="false">
      <c r="A86" s="6" t="n">
        <v>82</v>
      </c>
      <c r="B86" s="7" t="s">
        <v>216</v>
      </c>
      <c r="C86" s="6" t="s">
        <v>640</v>
      </c>
      <c r="D86" s="7" t="s">
        <v>212</v>
      </c>
      <c r="E86" s="7" t="s">
        <v>213</v>
      </c>
      <c r="F86" s="7" t="s">
        <v>213</v>
      </c>
      <c r="G86" s="7" t="s">
        <v>211</v>
      </c>
      <c r="H86" s="7" t="s">
        <v>653</v>
      </c>
      <c r="I86" s="7" t="s">
        <v>653</v>
      </c>
      <c r="J86" s="6" t="n">
        <v>3</v>
      </c>
    </row>
    <row r="87" customFormat="false" ht="15" hidden="false" customHeight="false" outlineLevel="0" collapsed="false">
      <c r="A87" s="6" t="n">
        <v>83</v>
      </c>
      <c r="B87" s="7" t="s">
        <v>218</v>
      </c>
      <c r="C87" s="6" t="s">
        <v>634</v>
      </c>
      <c r="D87" s="7" t="s">
        <v>211</v>
      </c>
      <c r="E87" s="7" t="s">
        <v>212</v>
      </c>
      <c r="F87" s="7" t="s">
        <v>213</v>
      </c>
      <c r="G87" s="7" t="s">
        <v>213</v>
      </c>
      <c r="H87" s="7" t="s">
        <v>650</v>
      </c>
      <c r="I87" s="7" t="s">
        <v>650</v>
      </c>
      <c r="J87" s="6" t="n">
        <v>3</v>
      </c>
    </row>
    <row r="88" customFormat="false" ht="15" hidden="false" customHeight="false" outlineLevel="0" collapsed="false">
      <c r="A88" s="6" t="n">
        <v>84</v>
      </c>
      <c r="B88" s="7" t="s">
        <v>218</v>
      </c>
      <c r="C88" s="6" t="s">
        <v>636</v>
      </c>
      <c r="D88" s="7" t="s">
        <v>213</v>
      </c>
      <c r="E88" s="7" t="s">
        <v>211</v>
      </c>
      <c r="F88" s="7" t="s">
        <v>212</v>
      </c>
      <c r="G88" s="7" t="s">
        <v>213</v>
      </c>
      <c r="H88" s="7" t="s">
        <v>651</v>
      </c>
      <c r="I88" s="7" t="s">
        <v>651</v>
      </c>
      <c r="J88" s="6" t="n">
        <v>3</v>
      </c>
    </row>
    <row r="89" customFormat="false" ht="15" hidden="false" customHeight="false" outlineLevel="0" collapsed="false">
      <c r="A89" s="6" t="n">
        <v>85</v>
      </c>
      <c r="B89" s="7" t="s">
        <v>218</v>
      </c>
      <c r="C89" s="6" t="s">
        <v>638</v>
      </c>
      <c r="D89" s="7" t="s">
        <v>213</v>
      </c>
      <c r="E89" s="7" t="s">
        <v>213</v>
      </c>
      <c r="F89" s="7" t="s">
        <v>211</v>
      </c>
      <c r="G89" s="7" t="s">
        <v>212</v>
      </c>
      <c r="H89" s="7" t="s">
        <v>652</v>
      </c>
      <c r="I89" s="7" t="s">
        <v>652</v>
      </c>
      <c r="J89" s="6" t="n">
        <v>3</v>
      </c>
    </row>
    <row r="90" customFormat="false" ht="15" hidden="false" customHeight="false" outlineLevel="0" collapsed="false">
      <c r="A90" s="6" t="n">
        <v>86</v>
      </c>
      <c r="B90" s="7" t="s">
        <v>218</v>
      </c>
      <c r="C90" s="6" t="s">
        <v>640</v>
      </c>
      <c r="D90" s="7" t="s">
        <v>212</v>
      </c>
      <c r="E90" s="7" t="s">
        <v>213</v>
      </c>
      <c r="F90" s="7" t="s">
        <v>213</v>
      </c>
      <c r="G90" s="7" t="s">
        <v>211</v>
      </c>
      <c r="H90" s="7" t="s">
        <v>653</v>
      </c>
      <c r="I90" s="7" t="s">
        <v>653</v>
      </c>
      <c r="J90" s="6" t="n">
        <v>3</v>
      </c>
    </row>
    <row r="91" customFormat="false" ht="15" hidden="false" customHeight="false" outlineLevel="0" collapsed="false">
      <c r="A91" s="6" t="n">
        <v>87</v>
      </c>
      <c r="B91" s="7" t="s">
        <v>220</v>
      </c>
      <c r="C91" s="6" t="s">
        <v>634</v>
      </c>
      <c r="D91" s="7" t="s">
        <v>211</v>
      </c>
      <c r="E91" s="7" t="s">
        <v>212</v>
      </c>
      <c r="F91" s="7" t="s">
        <v>213</v>
      </c>
      <c r="G91" s="7" t="s">
        <v>201</v>
      </c>
      <c r="H91" s="7" t="s">
        <v>650</v>
      </c>
      <c r="I91" s="7" t="s">
        <v>650</v>
      </c>
      <c r="J91" s="6" t="n">
        <v>3</v>
      </c>
    </row>
    <row r="92" customFormat="false" ht="15" hidden="false" customHeight="false" outlineLevel="0" collapsed="false">
      <c r="A92" s="6" t="n">
        <v>88</v>
      </c>
      <c r="B92" s="7" t="s">
        <v>220</v>
      </c>
      <c r="C92" s="6" t="s">
        <v>636</v>
      </c>
      <c r="D92" s="7" t="s">
        <v>201</v>
      </c>
      <c r="E92" s="7" t="s">
        <v>211</v>
      </c>
      <c r="F92" s="7" t="s">
        <v>212</v>
      </c>
      <c r="G92" s="7" t="s">
        <v>213</v>
      </c>
      <c r="H92" s="7" t="s">
        <v>651</v>
      </c>
      <c r="I92" s="7" t="s">
        <v>651</v>
      </c>
      <c r="J92" s="6" t="n">
        <v>3</v>
      </c>
    </row>
    <row r="93" customFormat="false" ht="15" hidden="false" customHeight="false" outlineLevel="0" collapsed="false">
      <c r="A93" s="6" t="n">
        <v>89</v>
      </c>
      <c r="B93" s="7" t="s">
        <v>220</v>
      </c>
      <c r="C93" s="6" t="s">
        <v>638</v>
      </c>
      <c r="D93" s="7" t="s">
        <v>213</v>
      </c>
      <c r="E93" s="7" t="s">
        <v>201</v>
      </c>
      <c r="F93" s="7" t="s">
        <v>211</v>
      </c>
      <c r="G93" s="7" t="s">
        <v>212</v>
      </c>
      <c r="H93" s="7" t="s">
        <v>652</v>
      </c>
      <c r="I93" s="7" t="s">
        <v>652</v>
      </c>
      <c r="J93" s="6" t="n">
        <v>3</v>
      </c>
    </row>
    <row r="94" customFormat="false" ht="15" hidden="false" customHeight="false" outlineLevel="0" collapsed="false">
      <c r="A94" s="6" t="n">
        <v>90</v>
      </c>
      <c r="B94" s="7" t="s">
        <v>220</v>
      </c>
      <c r="C94" s="6" t="s">
        <v>640</v>
      </c>
      <c r="D94" s="7" t="s">
        <v>212</v>
      </c>
      <c r="E94" s="7" t="s">
        <v>213</v>
      </c>
      <c r="F94" s="7" t="s">
        <v>201</v>
      </c>
      <c r="G94" s="7" t="s">
        <v>211</v>
      </c>
      <c r="H94" s="7" t="s">
        <v>653</v>
      </c>
      <c r="I94" s="7" t="s">
        <v>653</v>
      </c>
      <c r="J94" s="6" t="n">
        <v>3</v>
      </c>
    </row>
    <row r="95" customFormat="false" ht="15" hidden="false" customHeight="false" outlineLevel="0" collapsed="false">
      <c r="A95" s="6" t="n">
        <v>91</v>
      </c>
      <c r="B95" s="7" t="s">
        <v>222</v>
      </c>
      <c r="C95" s="6" t="s">
        <v>634</v>
      </c>
      <c r="D95" s="7" t="s">
        <v>223</v>
      </c>
      <c r="E95" s="7" t="s">
        <v>224</v>
      </c>
      <c r="F95" s="7" t="s">
        <v>213</v>
      </c>
      <c r="G95" s="7" t="s">
        <v>213</v>
      </c>
      <c r="H95" s="7" t="s">
        <v>149</v>
      </c>
      <c r="I95" s="7" t="s">
        <v>650</v>
      </c>
      <c r="J95" s="6" t="n">
        <v>1</v>
      </c>
    </row>
    <row r="96" customFormat="false" ht="15" hidden="false" customHeight="false" outlineLevel="0" collapsed="false">
      <c r="A96" s="6" t="n">
        <v>92</v>
      </c>
      <c r="B96" s="7" t="s">
        <v>222</v>
      </c>
      <c r="C96" s="6" t="s">
        <v>636</v>
      </c>
      <c r="D96" s="7" t="s">
        <v>213</v>
      </c>
      <c r="E96" s="7" t="s">
        <v>223</v>
      </c>
      <c r="F96" s="7" t="s">
        <v>224</v>
      </c>
      <c r="G96" s="7" t="s">
        <v>213</v>
      </c>
      <c r="H96" s="7" t="s">
        <v>149</v>
      </c>
      <c r="I96" s="7" t="s">
        <v>651</v>
      </c>
      <c r="J96" s="6" t="n">
        <v>1</v>
      </c>
    </row>
    <row r="97" customFormat="false" ht="15" hidden="false" customHeight="false" outlineLevel="0" collapsed="false">
      <c r="A97" s="6" t="n">
        <v>93</v>
      </c>
      <c r="B97" s="7" t="s">
        <v>222</v>
      </c>
      <c r="C97" s="6" t="s">
        <v>638</v>
      </c>
      <c r="D97" s="7" t="s">
        <v>213</v>
      </c>
      <c r="E97" s="7" t="s">
        <v>213</v>
      </c>
      <c r="F97" s="7" t="s">
        <v>223</v>
      </c>
      <c r="G97" s="7" t="s">
        <v>224</v>
      </c>
      <c r="H97" s="7" t="s">
        <v>149</v>
      </c>
      <c r="I97" s="7" t="s">
        <v>652</v>
      </c>
      <c r="J97" s="6" t="n">
        <v>1</v>
      </c>
    </row>
    <row r="98" customFormat="false" ht="15" hidden="false" customHeight="false" outlineLevel="0" collapsed="false">
      <c r="A98" s="6" t="n">
        <v>94</v>
      </c>
      <c r="B98" s="7" t="s">
        <v>222</v>
      </c>
      <c r="C98" s="6" t="s">
        <v>640</v>
      </c>
      <c r="D98" s="7" t="s">
        <v>224</v>
      </c>
      <c r="E98" s="7" t="s">
        <v>213</v>
      </c>
      <c r="F98" s="7" t="s">
        <v>213</v>
      </c>
      <c r="G98" s="7" t="s">
        <v>223</v>
      </c>
      <c r="H98" s="7" t="s">
        <v>149</v>
      </c>
      <c r="I98" s="7" t="s">
        <v>653</v>
      </c>
      <c r="J98" s="6" t="n">
        <v>1</v>
      </c>
    </row>
    <row r="99" customFormat="false" ht="15" hidden="false" customHeight="false" outlineLevel="0" collapsed="false">
      <c r="A99" s="6" t="n">
        <v>95</v>
      </c>
      <c r="B99" s="7" t="s">
        <v>226</v>
      </c>
      <c r="C99" s="6" t="s">
        <v>634</v>
      </c>
      <c r="D99" s="7" t="s">
        <v>223</v>
      </c>
      <c r="E99" s="7" t="s">
        <v>224</v>
      </c>
      <c r="F99" s="7" t="s">
        <v>213</v>
      </c>
      <c r="G99" s="7" t="s">
        <v>213</v>
      </c>
      <c r="H99" s="7" t="s">
        <v>149</v>
      </c>
      <c r="I99" s="7" t="s">
        <v>650</v>
      </c>
      <c r="J99" s="6" t="n">
        <v>0.5</v>
      </c>
    </row>
    <row r="100" customFormat="false" ht="15" hidden="false" customHeight="false" outlineLevel="0" collapsed="false">
      <c r="A100" s="6" t="n">
        <v>96</v>
      </c>
      <c r="B100" s="7" t="s">
        <v>226</v>
      </c>
      <c r="C100" s="6" t="s">
        <v>636</v>
      </c>
      <c r="D100" s="7" t="s">
        <v>213</v>
      </c>
      <c r="E100" s="7" t="s">
        <v>223</v>
      </c>
      <c r="F100" s="7" t="s">
        <v>224</v>
      </c>
      <c r="G100" s="7" t="s">
        <v>213</v>
      </c>
      <c r="H100" s="7" t="s">
        <v>149</v>
      </c>
      <c r="I100" s="7" t="s">
        <v>651</v>
      </c>
      <c r="J100" s="6" t="n">
        <v>0.5</v>
      </c>
    </row>
    <row r="101" customFormat="false" ht="15" hidden="false" customHeight="false" outlineLevel="0" collapsed="false">
      <c r="A101" s="6" t="n">
        <v>97</v>
      </c>
      <c r="B101" s="7" t="s">
        <v>226</v>
      </c>
      <c r="C101" s="6" t="s">
        <v>638</v>
      </c>
      <c r="D101" s="7" t="s">
        <v>213</v>
      </c>
      <c r="E101" s="7" t="s">
        <v>213</v>
      </c>
      <c r="F101" s="7" t="s">
        <v>223</v>
      </c>
      <c r="G101" s="7" t="s">
        <v>224</v>
      </c>
      <c r="H101" s="7" t="s">
        <v>149</v>
      </c>
      <c r="I101" s="7" t="s">
        <v>652</v>
      </c>
      <c r="J101" s="6" t="n">
        <v>0.5</v>
      </c>
    </row>
    <row r="102" customFormat="false" ht="15" hidden="false" customHeight="false" outlineLevel="0" collapsed="false">
      <c r="A102" s="6" t="n">
        <v>98</v>
      </c>
      <c r="B102" s="7" t="s">
        <v>226</v>
      </c>
      <c r="C102" s="6" t="s">
        <v>640</v>
      </c>
      <c r="D102" s="7" t="s">
        <v>224</v>
      </c>
      <c r="E102" s="7" t="s">
        <v>213</v>
      </c>
      <c r="F102" s="7" t="s">
        <v>213</v>
      </c>
      <c r="G102" s="7" t="s">
        <v>223</v>
      </c>
      <c r="H102" s="7" t="s">
        <v>149</v>
      </c>
      <c r="I102" s="7" t="s">
        <v>653</v>
      </c>
      <c r="J102" s="6" t="n">
        <v>0.5</v>
      </c>
    </row>
    <row r="103" customFormat="false" ht="15" hidden="false" customHeight="false" outlineLevel="0" collapsed="false">
      <c r="A103" s="6" t="n">
        <v>99</v>
      </c>
      <c r="B103" s="7" t="s">
        <v>228</v>
      </c>
      <c r="C103" s="6" t="s">
        <v>634</v>
      </c>
      <c r="D103" s="7" t="s">
        <v>229</v>
      </c>
      <c r="E103" s="7" t="s">
        <v>230</v>
      </c>
      <c r="F103" s="7" t="s">
        <v>231</v>
      </c>
      <c r="G103" s="7" t="s">
        <v>231</v>
      </c>
      <c r="H103" s="7" t="s">
        <v>654</v>
      </c>
      <c r="I103" s="7" t="s">
        <v>650</v>
      </c>
      <c r="J103" s="6" t="n">
        <v>1</v>
      </c>
    </row>
    <row r="104" customFormat="false" ht="15" hidden="false" customHeight="false" outlineLevel="0" collapsed="false">
      <c r="A104" s="6" t="n">
        <v>100</v>
      </c>
      <c r="B104" s="7" t="s">
        <v>228</v>
      </c>
      <c r="C104" s="6" t="s">
        <v>636</v>
      </c>
      <c r="D104" s="7" t="s">
        <v>231</v>
      </c>
      <c r="E104" s="7" t="s">
        <v>229</v>
      </c>
      <c r="F104" s="7" t="s">
        <v>230</v>
      </c>
      <c r="G104" s="7" t="s">
        <v>231</v>
      </c>
      <c r="H104" s="7" t="s">
        <v>655</v>
      </c>
      <c r="I104" s="7" t="s">
        <v>651</v>
      </c>
      <c r="J104" s="6" t="n">
        <v>1</v>
      </c>
    </row>
    <row r="105" customFormat="false" ht="15" hidden="false" customHeight="false" outlineLevel="0" collapsed="false">
      <c r="A105" s="6" t="n">
        <v>101</v>
      </c>
      <c r="B105" s="7" t="s">
        <v>228</v>
      </c>
      <c r="C105" s="6" t="s">
        <v>638</v>
      </c>
      <c r="D105" s="7" t="s">
        <v>231</v>
      </c>
      <c r="E105" s="7" t="s">
        <v>231</v>
      </c>
      <c r="F105" s="7" t="s">
        <v>229</v>
      </c>
      <c r="G105" s="7" t="s">
        <v>230</v>
      </c>
      <c r="H105" s="7" t="s">
        <v>656</v>
      </c>
      <c r="I105" s="7" t="s">
        <v>652</v>
      </c>
      <c r="J105" s="6" t="n">
        <v>1</v>
      </c>
    </row>
    <row r="106" customFormat="false" ht="15" hidden="false" customHeight="false" outlineLevel="0" collapsed="false">
      <c r="A106" s="6" t="n">
        <v>102</v>
      </c>
      <c r="B106" s="7" t="s">
        <v>228</v>
      </c>
      <c r="C106" s="6" t="s">
        <v>640</v>
      </c>
      <c r="D106" s="7" t="s">
        <v>230</v>
      </c>
      <c r="E106" s="7" t="s">
        <v>231</v>
      </c>
      <c r="F106" s="7" t="s">
        <v>231</v>
      </c>
      <c r="G106" s="7" t="s">
        <v>229</v>
      </c>
      <c r="H106" s="7" t="s">
        <v>657</v>
      </c>
      <c r="I106" s="7" t="s">
        <v>653</v>
      </c>
      <c r="J106" s="6" t="n">
        <v>1</v>
      </c>
    </row>
    <row r="107" customFormat="false" ht="15" hidden="false" customHeight="false" outlineLevel="0" collapsed="false">
      <c r="A107" s="6" t="n">
        <v>103</v>
      </c>
      <c r="B107" s="7" t="s">
        <v>234</v>
      </c>
      <c r="C107" s="6" t="s">
        <v>634</v>
      </c>
      <c r="D107" s="7" t="s">
        <v>235</v>
      </c>
      <c r="E107" s="7" t="s">
        <v>236</v>
      </c>
      <c r="F107" s="7" t="s">
        <v>149</v>
      </c>
      <c r="G107" s="7" t="s">
        <v>149</v>
      </c>
      <c r="H107" s="7" t="s">
        <v>149</v>
      </c>
      <c r="I107" s="7" t="s">
        <v>654</v>
      </c>
      <c r="J107" s="6" t="n">
        <v>1</v>
      </c>
    </row>
    <row r="108" customFormat="false" ht="15" hidden="false" customHeight="false" outlineLevel="0" collapsed="false">
      <c r="A108" s="6" t="n">
        <v>104</v>
      </c>
      <c r="B108" s="7" t="s">
        <v>234</v>
      </c>
      <c r="C108" s="6" t="s">
        <v>636</v>
      </c>
      <c r="D108" s="7" t="s">
        <v>149</v>
      </c>
      <c r="E108" s="7" t="s">
        <v>235</v>
      </c>
      <c r="F108" s="7" t="s">
        <v>236</v>
      </c>
      <c r="G108" s="7" t="s">
        <v>149</v>
      </c>
      <c r="H108" s="7" t="s">
        <v>149</v>
      </c>
      <c r="I108" s="7" t="s">
        <v>655</v>
      </c>
      <c r="J108" s="6" t="n">
        <v>1</v>
      </c>
    </row>
    <row r="109" customFormat="false" ht="15" hidden="false" customHeight="false" outlineLevel="0" collapsed="false">
      <c r="A109" s="6" t="n">
        <v>105</v>
      </c>
      <c r="B109" s="7" t="s">
        <v>234</v>
      </c>
      <c r="C109" s="6" t="s">
        <v>638</v>
      </c>
      <c r="D109" s="7" t="s">
        <v>149</v>
      </c>
      <c r="E109" s="7" t="s">
        <v>149</v>
      </c>
      <c r="F109" s="7" t="s">
        <v>235</v>
      </c>
      <c r="G109" s="7" t="s">
        <v>236</v>
      </c>
      <c r="H109" s="7" t="s">
        <v>149</v>
      </c>
      <c r="I109" s="7" t="s">
        <v>656</v>
      </c>
      <c r="J109" s="6" t="n">
        <v>1</v>
      </c>
    </row>
    <row r="110" customFormat="false" ht="15" hidden="false" customHeight="false" outlineLevel="0" collapsed="false">
      <c r="A110" s="6" t="n">
        <v>106</v>
      </c>
      <c r="B110" s="7" t="s">
        <v>234</v>
      </c>
      <c r="C110" s="6" t="s">
        <v>640</v>
      </c>
      <c r="D110" s="7" t="s">
        <v>236</v>
      </c>
      <c r="E110" s="7" t="s">
        <v>149</v>
      </c>
      <c r="F110" s="7" t="s">
        <v>149</v>
      </c>
      <c r="G110" s="7" t="s">
        <v>235</v>
      </c>
      <c r="H110" s="7" t="s">
        <v>149</v>
      </c>
      <c r="I110" s="7" t="s">
        <v>657</v>
      </c>
      <c r="J110" s="6" t="n">
        <v>1</v>
      </c>
    </row>
    <row r="111" customFormat="false" ht="15" hidden="false" customHeight="false" outlineLevel="0" collapsed="false">
      <c r="A111" s="6" t="n">
        <v>107</v>
      </c>
      <c r="B111" s="7" t="s">
        <v>238</v>
      </c>
      <c r="C111" s="6" t="s">
        <v>634</v>
      </c>
      <c r="D111" s="7" t="s">
        <v>240</v>
      </c>
      <c r="E111" s="7" t="s">
        <v>241</v>
      </c>
      <c r="F111" s="7" t="s">
        <v>242</v>
      </c>
      <c r="G111" s="7" t="s">
        <v>243</v>
      </c>
      <c r="H111" s="7" t="s">
        <v>658</v>
      </c>
      <c r="I111" s="7" t="s">
        <v>150</v>
      </c>
      <c r="J111" s="6" t="n">
        <v>1</v>
      </c>
    </row>
    <row r="112" customFormat="false" ht="15" hidden="false" customHeight="false" outlineLevel="0" collapsed="false">
      <c r="A112" s="6" t="n">
        <v>108</v>
      </c>
      <c r="B112" s="7" t="s">
        <v>238</v>
      </c>
      <c r="C112" s="6" t="s">
        <v>636</v>
      </c>
      <c r="D112" s="7" t="s">
        <v>243</v>
      </c>
      <c r="E112" s="7" t="s">
        <v>240</v>
      </c>
      <c r="F112" s="7" t="s">
        <v>241</v>
      </c>
      <c r="G112" s="7" t="s">
        <v>242</v>
      </c>
      <c r="H112" s="7" t="s">
        <v>659</v>
      </c>
      <c r="I112" s="7" t="s">
        <v>150</v>
      </c>
      <c r="J112" s="6" t="n">
        <v>1</v>
      </c>
    </row>
    <row r="113" customFormat="false" ht="15" hidden="false" customHeight="false" outlineLevel="0" collapsed="false">
      <c r="A113" s="6" t="n">
        <v>109</v>
      </c>
      <c r="B113" s="7" t="s">
        <v>238</v>
      </c>
      <c r="C113" s="6" t="s">
        <v>638</v>
      </c>
      <c r="D113" s="7" t="s">
        <v>242</v>
      </c>
      <c r="E113" s="7" t="s">
        <v>243</v>
      </c>
      <c r="F113" s="7" t="s">
        <v>240</v>
      </c>
      <c r="G113" s="7" t="s">
        <v>241</v>
      </c>
      <c r="H113" s="7" t="s">
        <v>660</v>
      </c>
      <c r="I113" s="7" t="s">
        <v>150</v>
      </c>
      <c r="J113" s="6" t="n">
        <v>1</v>
      </c>
    </row>
    <row r="114" customFormat="false" ht="15" hidden="false" customHeight="false" outlineLevel="0" collapsed="false">
      <c r="A114" s="6" t="n">
        <v>110</v>
      </c>
      <c r="B114" s="7" t="s">
        <v>238</v>
      </c>
      <c r="C114" s="6" t="s">
        <v>640</v>
      </c>
      <c r="D114" s="7" t="s">
        <v>241</v>
      </c>
      <c r="E114" s="7" t="s">
        <v>242</v>
      </c>
      <c r="F114" s="7" t="s">
        <v>243</v>
      </c>
      <c r="G114" s="7" t="s">
        <v>240</v>
      </c>
      <c r="H114" s="7" t="s">
        <v>661</v>
      </c>
      <c r="I114" s="7" t="s">
        <v>150</v>
      </c>
      <c r="J114" s="6" t="n">
        <v>1</v>
      </c>
    </row>
    <row r="115" customFormat="false" ht="15" hidden="false" customHeight="false" outlineLevel="0" collapsed="false">
      <c r="A115" s="6" t="n">
        <v>111</v>
      </c>
      <c r="B115" s="7" t="s">
        <v>246</v>
      </c>
      <c r="C115" s="6" t="s">
        <v>634</v>
      </c>
      <c r="D115" s="7" t="s">
        <v>240</v>
      </c>
      <c r="E115" s="7" t="s">
        <v>241</v>
      </c>
      <c r="F115" s="7" t="s">
        <v>242</v>
      </c>
      <c r="G115" s="7" t="s">
        <v>243</v>
      </c>
      <c r="H115" s="7" t="s">
        <v>658</v>
      </c>
      <c r="I115" s="7" t="s">
        <v>150</v>
      </c>
      <c r="J115" s="6" t="n">
        <v>1</v>
      </c>
    </row>
    <row r="116" customFormat="false" ht="15" hidden="false" customHeight="false" outlineLevel="0" collapsed="false">
      <c r="A116" s="6" t="n">
        <v>112</v>
      </c>
      <c r="B116" s="7" t="s">
        <v>246</v>
      </c>
      <c r="C116" s="6" t="s">
        <v>636</v>
      </c>
      <c r="D116" s="7" t="s">
        <v>243</v>
      </c>
      <c r="E116" s="7" t="s">
        <v>240</v>
      </c>
      <c r="F116" s="7" t="s">
        <v>241</v>
      </c>
      <c r="G116" s="7" t="s">
        <v>242</v>
      </c>
      <c r="H116" s="7" t="s">
        <v>659</v>
      </c>
      <c r="I116" s="7" t="s">
        <v>150</v>
      </c>
      <c r="J116" s="6" t="n">
        <v>1</v>
      </c>
    </row>
    <row r="117" customFormat="false" ht="15" hidden="false" customHeight="false" outlineLevel="0" collapsed="false">
      <c r="A117" s="6" t="n">
        <v>113</v>
      </c>
      <c r="B117" s="7" t="s">
        <v>246</v>
      </c>
      <c r="C117" s="6" t="s">
        <v>638</v>
      </c>
      <c r="D117" s="7" t="s">
        <v>242</v>
      </c>
      <c r="E117" s="7" t="s">
        <v>243</v>
      </c>
      <c r="F117" s="7" t="s">
        <v>240</v>
      </c>
      <c r="G117" s="7" t="s">
        <v>241</v>
      </c>
      <c r="H117" s="7" t="s">
        <v>660</v>
      </c>
      <c r="I117" s="7" t="s">
        <v>150</v>
      </c>
      <c r="J117" s="6" t="n">
        <v>1</v>
      </c>
    </row>
    <row r="118" customFormat="false" ht="15" hidden="false" customHeight="false" outlineLevel="0" collapsed="false">
      <c r="A118" s="6" t="n">
        <v>114</v>
      </c>
      <c r="B118" s="7" t="s">
        <v>246</v>
      </c>
      <c r="C118" s="6" t="s">
        <v>640</v>
      </c>
      <c r="D118" s="7" t="s">
        <v>241</v>
      </c>
      <c r="E118" s="7" t="s">
        <v>242</v>
      </c>
      <c r="F118" s="7" t="s">
        <v>243</v>
      </c>
      <c r="G118" s="7" t="s">
        <v>240</v>
      </c>
      <c r="H118" s="7" t="s">
        <v>661</v>
      </c>
      <c r="I118" s="7" t="s">
        <v>150</v>
      </c>
      <c r="J118" s="6" t="n">
        <v>1</v>
      </c>
    </row>
    <row r="119" customFormat="false" ht="15" hidden="false" customHeight="false" outlineLevel="0" collapsed="false">
      <c r="A119" s="6" t="n">
        <v>115</v>
      </c>
      <c r="B119" s="7" t="s">
        <v>249</v>
      </c>
      <c r="C119" s="6" t="s">
        <v>634</v>
      </c>
      <c r="D119" s="7" t="s">
        <v>240</v>
      </c>
      <c r="E119" s="7" t="s">
        <v>242</v>
      </c>
      <c r="F119" s="7" t="s">
        <v>243</v>
      </c>
      <c r="G119" s="7" t="s">
        <v>243</v>
      </c>
      <c r="H119" s="7" t="s">
        <v>662</v>
      </c>
      <c r="I119" s="7" t="s">
        <v>150</v>
      </c>
      <c r="J119" s="6" t="n">
        <v>1</v>
      </c>
    </row>
    <row r="120" customFormat="false" ht="15" hidden="false" customHeight="false" outlineLevel="0" collapsed="false">
      <c r="A120" s="6" t="n">
        <v>116</v>
      </c>
      <c r="B120" s="7" t="s">
        <v>249</v>
      </c>
      <c r="C120" s="6" t="s">
        <v>636</v>
      </c>
      <c r="D120" s="7" t="s">
        <v>243</v>
      </c>
      <c r="E120" s="7" t="s">
        <v>240</v>
      </c>
      <c r="F120" s="7" t="s">
        <v>242</v>
      </c>
      <c r="G120" s="7" t="s">
        <v>243</v>
      </c>
      <c r="H120" s="7" t="s">
        <v>663</v>
      </c>
      <c r="I120" s="7" t="s">
        <v>150</v>
      </c>
      <c r="J120" s="6" t="n">
        <v>1</v>
      </c>
    </row>
    <row r="121" customFormat="false" ht="15" hidden="false" customHeight="false" outlineLevel="0" collapsed="false">
      <c r="A121" s="6" t="n">
        <v>117</v>
      </c>
      <c r="B121" s="7" t="s">
        <v>249</v>
      </c>
      <c r="C121" s="6" t="s">
        <v>638</v>
      </c>
      <c r="D121" s="7" t="s">
        <v>243</v>
      </c>
      <c r="E121" s="7" t="s">
        <v>243</v>
      </c>
      <c r="F121" s="7" t="s">
        <v>240</v>
      </c>
      <c r="G121" s="7" t="s">
        <v>242</v>
      </c>
      <c r="H121" s="7" t="s">
        <v>664</v>
      </c>
      <c r="I121" s="7" t="s">
        <v>150</v>
      </c>
      <c r="J121" s="6" t="n">
        <v>1</v>
      </c>
    </row>
    <row r="122" customFormat="false" ht="15" hidden="false" customHeight="false" outlineLevel="0" collapsed="false">
      <c r="A122" s="6" t="n">
        <v>118</v>
      </c>
      <c r="B122" s="7" t="s">
        <v>249</v>
      </c>
      <c r="C122" s="6" t="s">
        <v>640</v>
      </c>
      <c r="D122" s="7" t="s">
        <v>242</v>
      </c>
      <c r="E122" s="7" t="s">
        <v>243</v>
      </c>
      <c r="F122" s="7" t="s">
        <v>243</v>
      </c>
      <c r="G122" s="7" t="s">
        <v>240</v>
      </c>
      <c r="H122" s="7" t="s">
        <v>665</v>
      </c>
      <c r="I122" s="7" t="s">
        <v>150</v>
      </c>
      <c r="J122" s="6" t="n">
        <v>1</v>
      </c>
    </row>
    <row r="123" customFormat="false" ht="15" hidden="false" customHeight="false" outlineLevel="0" collapsed="false">
      <c r="A123" s="6" t="n">
        <v>119</v>
      </c>
      <c r="B123" s="7" t="s">
        <v>253</v>
      </c>
      <c r="C123" s="6" t="s">
        <v>634</v>
      </c>
      <c r="D123" s="7" t="s">
        <v>241</v>
      </c>
      <c r="E123" s="7" t="s">
        <v>241</v>
      </c>
      <c r="F123" s="7" t="s">
        <v>241</v>
      </c>
      <c r="G123" s="7" t="s">
        <v>241</v>
      </c>
      <c r="H123" s="7" t="s">
        <v>254</v>
      </c>
      <c r="I123" s="7" t="s">
        <v>150</v>
      </c>
      <c r="J123" s="6" t="n">
        <v>1</v>
      </c>
    </row>
    <row r="124" customFormat="false" ht="15" hidden="false" customHeight="false" outlineLevel="0" collapsed="false">
      <c r="A124" s="6" t="n">
        <v>120</v>
      </c>
      <c r="B124" s="7" t="s">
        <v>239</v>
      </c>
      <c r="C124" s="6" t="s">
        <v>634</v>
      </c>
      <c r="D124" s="7" t="s">
        <v>240</v>
      </c>
      <c r="E124" s="7" t="s">
        <v>241</v>
      </c>
      <c r="F124" s="7" t="s">
        <v>242</v>
      </c>
      <c r="G124" s="7" t="s">
        <v>243</v>
      </c>
      <c r="H124" s="7" t="s">
        <v>658</v>
      </c>
      <c r="I124" s="7" t="s">
        <v>658</v>
      </c>
      <c r="J124" s="6" t="n">
        <v>1.3</v>
      </c>
    </row>
    <row r="125" customFormat="false" ht="15" hidden="false" customHeight="false" outlineLevel="0" collapsed="false">
      <c r="A125" s="6" t="n">
        <v>121</v>
      </c>
      <c r="B125" s="7" t="s">
        <v>239</v>
      </c>
      <c r="C125" s="6" t="s">
        <v>636</v>
      </c>
      <c r="D125" s="7" t="s">
        <v>243</v>
      </c>
      <c r="E125" s="7" t="s">
        <v>240</v>
      </c>
      <c r="F125" s="7" t="s">
        <v>241</v>
      </c>
      <c r="G125" s="7" t="s">
        <v>242</v>
      </c>
      <c r="H125" s="7" t="s">
        <v>659</v>
      </c>
      <c r="I125" s="7" t="s">
        <v>659</v>
      </c>
      <c r="J125" s="6" t="n">
        <v>1.3</v>
      </c>
    </row>
    <row r="126" customFormat="false" ht="15" hidden="false" customHeight="false" outlineLevel="0" collapsed="false">
      <c r="A126" s="6" t="n">
        <v>122</v>
      </c>
      <c r="B126" s="7" t="s">
        <v>239</v>
      </c>
      <c r="C126" s="6" t="s">
        <v>638</v>
      </c>
      <c r="D126" s="7" t="s">
        <v>242</v>
      </c>
      <c r="E126" s="7" t="s">
        <v>243</v>
      </c>
      <c r="F126" s="7" t="s">
        <v>240</v>
      </c>
      <c r="G126" s="7" t="s">
        <v>241</v>
      </c>
      <c r="H126" s="7" t="s">
        <v>660</v>
      </c>
      <c r="I126" s="7" t="s">
        <v>660</v>
      </c>
      <c r="J126" s="6" t="n">
        <v>1.3</v>
      </c>
    </row>
    <row r="127" customFormat="false" ht="15" hidden="false" customHeight="false" outlineLevel="0" collapsed="false">
      <c r="A127" s="6" t="n">
        <v>123</v>
      </c>
      <c r="B127" s="7" t="s">
        <v>239</v>
      </c>
      <c r="C127" s="6" t="s">
        <v>640</v>
      </c>
      <c r="D127" s="7" t="s">
        <v>241</v>
      </c>
      <c r="E127" s="7" t="s">
        <v>242</v>
      </c>
      <c r="F127" s="7" t="s">
        <v>243</v>
      </c>
      <c r="G127" s="7" t="s">
        <v>240</v>
      </c>
      <c r="H127" s="7" t="s">
        <v>661</v>
      </c>
      <c r="I127" s="7" t="s">
        <v>661</v>
      </c>
      <c r="J127" s="6" t="n">
        <v>1.3</v>
      </c>
    </row>
    <row r="128" customFormat="false" ht="15" hidden="false" customHeight="false" outlineLevel="0" collapsed="false">
      <c r="A128" s="6" t="n">
        <v>124</v>
      </c>
      <c r="B128" s="7" t="s">
        <v>247</v>
      </c>
      <c r="C128" s="6" t="s">
        <v>634</v>
      </c>
      <c r="D128" s="7" t="s">
        <v>240</v>
      </c>
      <c r="E128" s="7" t="s">
        <v>241</v>
      </c>
      <c r="F128" s="7" t="s">
        <v>242</v>
      </c>
      <c r="G128" s="7" t="s">
        <v>243</v>
      </c>
      <c r="H128" s="7" t="s">
        <v>658</v>
      </c>
      <c r="I128" s="7" t="s">
        <v>658</v>
      </c>
      <c r="J128" s="6" t="n">
        <v>1.3</v>
      </c>
    </row>
    <row r="129" customFormat="false" ht="15" hidden="false" customHeight="false" outlineLevel="0" collapsed="false">
      <c r="A129" s="6" t="n">
        <v>125</v>
      </c>
      <c r="B129" s="7" t="s">
        <v>247</v>
      </c>
      <c r="C129" s="6" t="s">
        <v>636</v>
      </c>
      <c r="D129" s="7" t="s">
        <v>243</v>
      </c>
      <c r="E129" s="7" t="s">
        <v>240</v>
      </c>
      <c r="F129" s="7" t="s">
        <v>241</v>
      </c>
      <c r="G129" s="7" t="s">
        <v>242</v>
      </c>
      <c r="H129" s="7" t="s">
        <v>659</v>
      </c>
      <c r="I129" s="7" t="s">
        <v>659</v>
      </c>
      <c r="J129" s="6" t="n">
        <v>1.3</v>
      </c>
    </row>
    <row r="130" customFormat="false" ht="15" hidden="false" customHeight="false" outlineLevel="0" collapsed="false">
      <c r="A130" s="6" t="n">
        <v>126</v>
      </c>
      <c r="B130" s="7" t="s">
        <v>247</v>
      </c>
      <c r="C130" s="6" t="s">
        <v>638</v>
      </c>
      <c r="D130" s="7" t="s">
        <v>242</v>
      </c>
      <c r="E130" s="7" t="s">
        <v>243</v>
      </c>
      <c r="F130" s="7" t="s">
        <v>240</v>
      </c>
      <c r="G130" s="7" t="s">
        <v>241</v>
      </c>
      <c r="H130" s="7" t="s">
        <v>660</v>
      </c>
      <c r="I130" s="7" t="s">
        <v>660</v>
      </c>
      <c r="J130" s="6" t="n">
        <v>1.3</v>
      </c>
    </row>
    <row r="131" customFormat="false" ht="15" hidden="false" customHeight="false" outlineLevel="0" collapsed="false">
      <c r="A131" s="6" t="n">
        <v>127</v>
      </c>
      <c r="B131" s="7" t="s">
        <v>247</v>
      </c>
      <c r="C131" s="6" t="s">
        <v>640</v>
      </c>
      <c r="D131" s="7" t="s">
        <v>241</v>
      </c>
      <c r="E131" s="7" t="s">
        <v>242</v>
      </c>
      <c r="F131" s="7" t="s">
        <v>243</v>
      </c>
      <c r="G131" s="7" t="s">
        <v>240</v>
      </c>
      <c r="H131" s="7" t="s">
        <v>661</v>
      </c>
      <c r="I131" s="7" t="s">
        <v>661</v>
      </c>
      <c r="J131" s="6" t="n">
        <v>1.3</v>
      </c>
    </row>
    <row r="132" customFormat="false" ht="15" hidden="false" customHeight="false" outlineLevel="0" collapsed="false">
      <c r="A132" s="6" t="n">
        <v>128</v>
      </c>
      <c r="B132" s="7" t="s">
        <v>258</v>
      </c>
      <c r="C132" s="6" t="s">
        <v>634</v>
      </c>
      <c r="D132" s="7" t="s">
        <v>240</v>
      </c>
      <c r="E132" s="7" t="s">
        <v>241</v>
      </c>
      <c r="F132" s="7" t="s">
        <v>242</v>
      </c>
      <c r="G132" s="7" t="s">
        <v>201</v>
      </c>
      <c r="H132" s="7" t="s">
        <v>658</v>
      </c>
      <c r="I132" s="7" t="s">
        <v>658</v>
      </c>
      <c r="J132" s="6" t="n">
        <v>1.5</v>
      </c>
    </row>
    <row r="133" customFormat="false" ht="15" hidden="false" customHeight="false" outlineLevel="0" collapsed="false">
      <c r="A133" s="6" t="n">
        <v>129</v>
      </c>
      <c r="B133" s="7" t="s">
        <v>258</v>
      </c>
      <c r="C133" s="6" t="s">
        <v>636</v>
      </c>
      <c r="D133" s="7" t="s">
        <v>201</v>
      </c>
      <c r="E133" s="7" t="s">
        <v>240</v>
      </c>
      <c r="F133" s="7" t="s">
        <v>241</v>
      </c>
      <c r="G133" s="7" t="s">
        <v>242</v>
      </c>
      <c r="H133" s="7" t="s">
        <v>659</v>
      </c>
      <c r="I133" s="7" t="s">
        <v>659</v>
      </c>
      <c r="J133" s="6" t="n">
        <v>1.5</v>
      </c>
    </row>
    <row r="134" customFormat="false" ht="15" hidden="false" customHeight="false" outlineLevel="0" collapsed="false">
      <c r="A134" s="6" t="n">
        <v>130</v>
      </c>
      <c r="B134" s="7" t="s">
        <v>258</v>
      </c>
      <c r="C134" s="6" t="s">
        <v>638</v>
      </c>
      <c r="D134" s="7" t="s">
        <v>242</v>
      </c>
      <c r="E134" s="7" t="s">
        <v>201</v>
      </c>
      <c r="F134" s="7" t="s">
        <v>240</v>
      </c>
      <c r="G134" s="7" t="s">
        <v>241</v>
      </c>
      <c r="H134" s="7" t="s">
        <v>660</v>
      </c>
      <c r="I134" s="7" t="s">
        <v>660</v>
      </c>
      <c r="J134" s="6" t="n">
        <v>1.5</v>
      </c>
    </row>
    <row r="135" customFormat="false" ht="15" hidden="false" customHeight="false" outlineLevel="0" collapsed="false">
      <c r="A135" s="6" t="n">
        <v>131</v>
      </c>
      <c r="B135" s="7" t="s">
        <v>258</v>
      </c>
      <c r="C135" s="6" t="s">
        <v>640</v>
      </c>
      <c r="D135" s="7" t="s">
        <v>241</v>
      </c>
      <c r="E135" s="7" t="s">
        <v>242</v>
      </c>
      <c r="F135" s="7" t="s">
        <v>201</v>
      </c>
      <c r="G135" s="7" t="s">
        <v>240</v>
      </c>
      <c r="H135" s="7" t="s">
        <v>661</v>
      </c>
      <c r="I135" s="7" t="s">
        <v>661</v>
      </c>
      <c r="J135" s="6" t="n">
        <v>1.5</v>
      </c>
    </row>
    <row r="136" customFormat="false" ht="15" hidden="false" customHeight="false" outlineLevel="0" collapsed="false">
      <c r="A136" s="6" t="n">
        <v>132</v>
      </c>
      <c r="B136" s="7" t="s">
        <v>260</v>
      </c>
      <c r="C136" s="6" t="s">
        <v>634</v>
      </c>
      <c r="D136" s="7" t="s">
        <v>240</v>
      </c>
      <c r="E136" s="7" t="s">
        <v>241</v>
      </c>
      <c r="F136" s="7" t="s">
        <v>242</v>
      </c>
      <c r="G136" s="7" t="s">
        <v>201</v>
      </c>
      <c r="H136" s="7" t="s">
        <v>658</v>
      </c>
      <c r="I136" s="7" t="s">
        <v>658</v>
      </c>
      <c r="J136" s="6" t="n">
        <v>1</v>
      </c>
    </row>
    <row r="137" customFormat="false" ht="15" hidden="false" customHeight="false" outlineLevel="0" collapsed="false">
      <c r="A137" s="6" t="n">
        <v>133</v>
      </c>
      <c r="B137" s="7" t="s">
        <v>260</v>
      </c>
      <c r="C137" s="6" t="s">
        <v>636</v>
      </c>
      <c r="D137" s="7" t="s">
        <v>201</v>
      </c>
      <c r="E137" s="7" t="s">
        <v>240</v>
      </c>
      <c r="F137" s="7" t="s">
        <v>241</v>
      </c>
      <c r="G137" s="7" t="s">
        <v>242</v>
      </c>
      <c r="H137" s="7" t="s">
        <v>659</v>
      </c>
      <c r="I137" s="7" t="s">
        <v>659</v>
      </c>
      <c r="J137" s="6" t="n">
        <v>1</v>
      </c>
    </row>
    <row r="138" customFormat="false" ht="15" hidden="false" customHeight="false" outlineLevel="0" collapsed="false">
      <c r="A138" s="6" t="n">
        <v>134</v>
      </c>
      <c r="B138" s="7" t="s">
        <v>260</v>
      </c>
      <c r="C138" s="6" t="s">
        <v>638</v>
      </c>
      <c r="D138" s="7" t="s">
        <v>242</v>
      </c>
      <c r="E138" s="7" t="s">
        <v>201</v>
      </c>
      <c r="F138" s="7" t="s">
        <v>240</v>
      </c>
      <c r="G138" s="7" t="s">
        <v>241</v>
      </c>
      <c r="H138" s="7" t="s">
        <v>660</v>
      </c>
      <c r="I138" s="7" t="s">
        <v>660</v>
      </c>
      <c r="J138" s="6" t="n">
        <v>1</v>
      </c>
    </row>
    <row r="139" customFormat="false" ht="15" hidden="false" customHeight="false" outlineLevel="0" collapsed="false">
      <c r="A139" s="6" t="n">
        <v>135</v>
      </c>
      <c r="B139" s="7" t="s">
        <v>260</v>
      </c>
      <c r="C139" s="6" t="s">
        <v>640</v>
      </c>
      <c r="D139" s="7" t="s">
        <v>241</v>
      </c>
      <c r="E139" s="7" t="s">
        <v>242</v>
      </c>
      <c r="F139" s="7" t="s">
        <v>201</v>
      </c>
      <c r="G139" s="7" t="s">
        <v>240</v>
      </c>
      <c r="H139" s="7" t="s">
        <v>661</v>
      </c>
      <c r="I139" s="7" t="s">
        <v>661</v>
      </c>
      <c r="J139" s="6" t="n">
        <v>1</v>
      </c>
    </row>
    <row r="140" customFormat="false" ht="15" hidden="false" customHeight="false" outlineLevel="0" collapsed="false">
      <c r="A140" s="6" t="n">
        <v>136</v>
      </c>
      <c r="B140" s="7" t="s">
        <v>250</v>
      </c>
      <c r="C140" s="6" t="s">
        <v>634</v>
      </c>
      <c r="D140" s="7" t="s">
        <v>240</v>
      </c>
      <c r="E140" s="7" t="s">
        <v>242</v>
      </c>
      <c r="F140" s="7" t="s">
        <v>243</v>
      </c>
      <c r="G140" s="7" t="s">
        <v>243</v>
      </c>
      <c r="H140" s="7" t="s">
        <v>662</v>
      </c>
      <c r="I140" s="7" t="s">
        <v>662</v>
      </c>
      <c r="J140" s="6" t="n">
        <v>1</v>
      </c>
    </row>
    <row r="141" customFormat="false" ht="15" hidden="false" customHeight="false" outlineLevel="0" collapsed="false">
      <c r="A141" s="6" t="n">
        <v>137</v>
      </c>
      <c r="B141" s="7" t="s">
        <v>250</v>
      </c>
      <c r="C141" s="6" t="s">
        <v>636</v>
      </c>
      <c r="D141" s="7" t="s">
        <v>243</v>
      </c>
      <c r="E141" s="7" t="s">
        <v>240</v>
      </c>
      <c r="F141" s="7" t="s">
        <v>242</v>
      </c>
      <c r="G141" s="7" t="s">
        <v>243</v>
      </c>
      <c r="H141" s="7" t="s">
        <v>663</v>
      </c>
      <c r="I141" s="7" t="s">
        <v>663</v>
      </c>
      <c r="J141" s="6" t="n">
        <v>1</v>
      </c>
    </row>
    <row r="142" customFormat="false" ht="15" hidden="false" customHeight="false" outlineLevel="0" collapsed="false">
      <c r="A142" s="6" t="n">
        <v>138</v>
      </c>
      <c r="B142" s="7" t="s">
        <v>250</v>
      </c>
      <c r="C142" s="6" t="s">
        <v>638</v>
      </c>
      <c r="D142" s="7" t="s">
        <v>243</v>
      </c>
      <c r="E142" s="7" t="s">
        <v>243</v>
      </c>
      <c r="F142" s="7" t="s">
        <v>240</v>
      </c>
      <c r="G142" s="7" t="s">
        <v>242</v>
      </c>
      <c r="H142" s="7" t="s">
        <v>664</v>
      </c>
      <c r="I142" s="7" t="s">
        <v>664</v>
      </c>
      <c r="J142" s="6" t="n">
        <v>1</v>
      </c>
    </row>
    <row r="143" customFormat="false" ht="15" hidden="false" customHeight="false" outlineLevel="0" collapsed="false">
      <c r="A143" s="6" t="n">
        <v>139</v>
      </c>
      <c r="B143" s="7" t="s">
        <v>250</v>
      </c>
      <c r="C143" s="6" t="s">
        <v>640</v>
      </c>
      <c r="D143" s="7" t="s">
        <v>242</v>
      </c>
      <c r="E143" s="7" t="s">
        <v>243</v>
      </c>
      <c r="F143" s="7" t="s">
        <v>243</v>
      </c>
      <c r="G143" s="7" t="s">
        <v>240</v>
      </c>
      <c r="H143" s="7" t="s">
        <v>665</v>
      </c>
      <c r="I143" s="7" t="s">
        <v>665</v>
      </c>
      <c r="J143" s="6" t="n">
        <v>1</v>
      </c>
    </row>
    <row r="144" customFormat="false" ht="15" hidden="false" customHeight="false" outlineLevel="0" collapsed="false">
      <c r="A144" s="6" t="n">
        <v>140</v>
      </c>
      <c r="B144" s="7" t="s">
        <v>263</v>
      </c>
      <c r="C144" s="6" t="s">
        <v>634</v>
      </c>
      <c r="D144" s="7" t="s">
        <v>241</v>
      </c>
      <c r="E144" s="7" t="s">
        <v>241</v>
      </c>
      <c r="F144" s="7" t="s">
        <v>241</v>
      </c>
      <c r="G144" s="7" t="s">
        <v>241</v>
      </c>
      <c r="H144" s="7" t="s">
        <v>254</v>
      </c>
      <c r="I144" s="7" t="s">
        <v>254</v>
      </c>
      <c r="J144" s="6" t="n">
        <v>1</v>
      </c>
    </row>
    <row r="145" customFormat="false" ht="15" hidden="false" customHeight="false" outlineLevel="0" collapsed="false">
      <c r="A145" s="6" t="n">
        <v>141</v>
      </c>
      <c r="B145" s="7" t="s">
        <v>265</v>
      </c>
      <c r="C145" s="6" t="s">
        <v>634</v>
      </c>
      <c r="D145" s="7" t="s">
        <v>267</v>
      </c>
      <c r="E145" s="7" t="s">
        <v>241</v>
      </c>
      <c r="F145" s="7" t="s">
        <v>268</v>
      </c>
      <c r="G145" s="7" t="s">
        <v>231</v>
      </c>
      <c r="H145" s="7" t="s">
        <v>666</v>
      </c>
      <c r="I145" s="7" t="s">
        <v>658</v>
      </c>
      <c r="J145" s="6" t="n">
        <v>1</v>
      </c>
    </row>
    <row r="146" customFormat="false" ht="15" hidden="false" customHeight="false" outlineLevel="0" collapsed="false">
      <c r="A146" s="6" t="n">
        <v>142</v>
      </c>
      <c r="B146" s="7" t="s">
        <v>265</v>
      </c>
      <c r="C146" s="6" t="s">
        <v>636</v>
      </c>
      <c r="D146" s="7" t="s">
        <v>231</v>
      </c>
      <c r="E146" s="7" t="s">
        <v>267</v>
      </c>
      <c r="F146" s="7" t="s">
        <v>241</v>
      </c>
      <c r="G146" s="7" t="s">
        <v>268</v>
      </c>
      <c r="H146" s="7" t="s">
        <v>667</v>
      </c>
      <c r="I146" s="7" t="s">
        <v>659</v>
      </c>
      <c r="J146" s="6" t="n">
        <v>1</v>
      </c>
    </row>
    <row r="147" customFormat="false" ht="15" hidden="false" customHeight="false" outlineLevel="0" collapsed="false">
      <c r="A147" s="6" t="n">
        <v>143</v>
      </c>
      <c r="B147" s="7" t="s">
        <v>265</v>
      </c>
      <c r="C147" s="6" t="s">
        <v>638</v>
      </c>
      <c r="D147" s="7" t="s">
        <v>268</v>
      </c>
      <c r="E147" s="7" t="s">
        <v>231</v>
      </c>
      <c r="F147" s="7" t="s">
        <v>267</v>
      </c>
      <c r="G147" s="7" t="s">
        <v>241</v>
      </c>
      <c r="H147" s="7" t="s">
        <v>668</v>
      </c>
      <c r="I147" s="7" t="s">
        <v>660</v>
      </c>
      <c r="J147" s="6" t="n">
        <v>1</v>
      </c>
    </row>
    <row r="148" customFormat="false" ht="15" hidden="false" customHeight="false" outlineLevel="0" collapsed="false">
      <c r="A148" s="6" t="n">
        <v>144</v>
      </c>
      <c r="B148" s="7" t="s">
        <v>265</v>
      </c>
      <c r="C148" s="6" t="s">
        <v>640</v>
      </c>
      <c r="D148" s="7" t="s">
        <v>241</v>
      </c>
      <c r="E148" s="7" t="s">
        <v>268</v>
      </c>
      <c r="F148" s="7" t="s">
        <v>231</v>
      </c>
      <c r="G148" s="7" t="s">
        <v>267</v>
      </c>
      <c r="H148" s="7" t="s">
        <v>669</v>
      </c>
      <c r="I148" s="7" t="s">
        <v>661</v>
      </c>
      <c r="J148" s="6" t="n">
        <v>1</v>
      </c>
    </row>
    <row r="149" customFormat="false" ht="15" hidden="false" customHeight="false" outlineLevel="0" collapsed="false">
      <c r="A149" s="6" t="n">
        <v>145</v>
      </c>
      <c r="B149" s="7" t="s">
        <v>271</v>
      </c>
      <c r="C149" s="6" t="s">
        <v>634</v>
      </c>
      <c r="D149" s="7" t="s">
        <v>267</v>
      </c>
      <c r="E149" s="7" t="s">
        <v>268</v>
      </c>
      <c r="F149" s="7" t="s">
        <v>231</v>
      </c>
      <c r="G149" s="7" t="s">
        <v>231</v>
      </c>
      <c r="H149" s="7" t="s">
        <v>670</v>
      </c>
      <c r="I149" s="7" t="s">
        <v>662</v>
      </c>
      <c r="J149" s="6" t="n">
        <v>1</v>
      </c>
    </row>
    <row r="150" customFormat="false" ht="15" hidden="false" customHeight="false" outlineLevel="0" collapsed="false">
      <c r="A150" s="6" t="n">
        <v>146</v>
      </c>
      <c r="B150" s="7" t="s">
        <v>271</v>
      </c>
      <c r="C150" s="6" t="s">
        <v>636</v>
      </c>
      <c r="D150" s="7" t="s">
        <v>231</v>
      </c>
      <c r="E150" s="7" t="s">
        <v>267</v>
      </c>
      <c r="F150" s="7" t="s">
        <v>268</v>
      </c>
      <c r="G150" s="7" t="s">
        <v>231</v>
      </c>
      <c r="H150" s="7" t="s">
        <v>671</v>
      </c>
      <c r="I150" s="7" t="s">
        <v>663</v>
      </c>
      <c r="J150" s="6" t="n">
        <v>1</v>
      </c>
    </row>
    <row r="151" customFormat="false" ht="15" hidden="false" customHeight="false" outlineLevel="0" collapsed="false">
      <c r="A151" s="6" t="n">
        <v>147</v>
      </c>
      <c r="B151" s="7" t="s">
        <v>271</v>
      </c>
      <c r="C151" s="6" t="s">
        <v>638</v>
      </c>
      <c r="D151" s="7" t="s">
        <v>231</v>
      </c>
      <c r="E151" s="7" t="s">
        <v>231</v>
      </c>
      <c r="F151" s="7" t="s">
        <v>267</v>
      </c>
      <c r="G151" s="7" t="s">
        <v>268</v>
      </c>
      <c r="H151" s="7" t="s">
        <v>672</v>
      </c>
      <c r="I151" s="7" t="s">
        <v>664</v>
      </c>
      <c r="J151" s="6" t="n">
        <v>1</v>
      </c>
    </row>
    <row r="152" customFormat="false" ht="15" hidden="false" customHeight="false" outlineLevel="0" collapsed="false">
      <c r="A152" s="6" t="n">
        <v>148</v>
      </c>
      <c r="B152" s="7" t="s">
        <v>271</v>
      </c>
      <c r="C152" s="6" t="s">
        <v>640</v>
      </c>
      <c r="D152" s="7" t="s">
        <v>268</v>
      </c>
      <c r="E152" s="7" t="s">
        <v>231</v>
      </c>
      <c r="F152" s="7" t="s">
        <v>231</v>
      </c>
      <c r="G152" s="7" t="s">
        <v>267</v>
      </c>
      <c r="H152" s="7" t="s">
        <v>673</v>
      </c>
      <c r="I152" s="7" t="s">
        <v>665</v>
      </c>
      <c r="J152" s="6" t="n">
        <v>1</v>
      </c>
    </row>
    <row r="153" customFormat="false" ht="15" hidden="false" customHeight="false" outlineLevel="0" collapsed="false">
      <c r="A153" s="6" t="n">
        <v>149</v>
      </c>
      <c r="B153" s="7" t="s">
        <v>274</v>
      </c>
      <c r="C153" s="6" t="s">
        <v>634</v>
      </c>
      <c r="D153" s="7" t="s">
        <v>275</v>
      </c>
      <c r="E153" s="7" t="s">
        <v>276</v>
      </c>
      <c r="F153" s="7" t="s">
        <v>277</v>
      </c>
      <c r="G153" s="7" t="s">
        <v>149</v>
      </c>
      <c r="H153" s="7" t="s">
        <v>149</v>
      </c>
      <c r="I153" s="7" t="s">
        <v>666</v>
      </c>
      <c r="J153" s="6" t="n">
        <v>1</v>
      </c>
    </row>
    <row r="154" customFormat="false" ht="15" hidden="false" customHeight="false" outlineLevel="0" collapsed="false">
      <c r="A154" s="6" t="n">
        <v>150</v>
      </c>
      <c r="B154" s="7" t="s">
        <v>274</v>
      </c>
      <c r="C154" s="6" t="s">
        <v>636</v>
      </c>
      <c r="D154" s="7" t="s">
        <v>149</v>
      </c>
      <c r="E154" s="7" t="s">
        <v>275</v>
      </c>
      <c r="F154" s="7" t="s">
        <v>276</v>
      </c>
      <c r="G154" s="7" t="s">
        <v>277</v>
      </c>
      <c r="H154" s="7" t="s">
        <v>149</v>
      </c>
      <c r="I154" s="7" t="s">
        <v>667</v>
      </c>
      <c r="J154" s="6" t="n">
        <v>1</v>
      </c>
    </row>
    <row r="155" customFormat="false" ht="15" hidden="false" customHeight="false" outlineLevel="0" collapsed="false">
      <c r="A155" s="6" t="n">
        <v>151</v>
      </c>
      <c r="B155" s="7" t="s">
        <v>274</v>
      </c>
      <c r="C155" s="6" t="s">
        <v>638</v>
      </c>
      <c r="D155" s="7" t="s">
        <v>277</v>
      </c>
      <c r="E155" s="7" t="s">
        <v>149</v>
      </c>
      <c r="F155" s="7" t="s">
        <v>275</v>
      </c>
      <c r="G155" s="7" t="s">
        <v>276</v>
      </c>
      <c r="H155" s="7" t="s">
        <v>149</v>
      </c>
      <c r="I155" s="7" t="s">
        <v>668</v>
      </c>
      <c r="J155" s="6" t="n">
        <v>1</v>
      </c>
    </row>
    <row r="156" customFormat="false" ht="15" hidden="false" customHeight="false" outlineLevel="0" collapsed="false">
      <c r="A156" s="6" t="n">
        <v>152</v>
      </c>
      <c r="B156" s="7" t="s">
        <v>274</v>
      </c>
      <c r="C156" s="6" t="s">
        <v>640</v>
      </c>
      <c r="D156" s="7" t="s">
        <v>276</v>
      </c>
      <c r="E156" s="7" t="s">
        <v>277</v>
      </c>
      <c r="F156" s="7" t="s">
        <v>149</v>
      </c>
      <c r="G156" s="7" t="s">
        <v>275</v>
      </c>
      <c r="H156" s="7" t="s">
        <v>149</v>
      </c>
      <c r="I156" s="7" t="s">
        <v>669</v>
      </c>
      <c r="J156" s="6" t="n">
        <v>1</v>
      </c>
    </row>
    <row r="157" customFormat="false" ht="15" hidden="false" customHeight="false" outlineLevel="0" collapsed="false">
      <c r="A157" s="6" t="n">
        <v>153</v>
      </c>
      <c r="B157" s="7" t="s">
        <v>279</v>
      </c>
      <c r="C157" s="6" t="s">
        <v>634</v>
      </c>
      <c r="D157" s="7" t="s">
        <v>275</v>
      </c>
      <c r="E157" s="7" t="s">
        <v>277</v>
      </c>
      <c r="F157" s="7" t="s">
        <v>149</v>
      </c>
      <c r="G157" s="7" t="s">
        <v>149</v>
      </c>
      <c r="H157" s="7" t="s">
        <v>149</v>
      </c>
      <c r="I157" s="7" t="s">
        <v>670</v>
      </c>
      <c r="J157" s="6" t="n">
        <v>1</v>
      </c>
    </row>
    <row r="158" customFormat="false" ht="15" hidden="false" customHeight="false" outlineLevel="0" collapsed="false">
      <c r="A158" s="6" t="n">
        <v>154</v>
      </c>
      <c r="B158" s="7" t="s">
        <v>279</v>
      </c>
      <c r="C158" s="6" t="s">
        <v>636</v>
      </c>
      <c r="D158" s="7" t="s">
        <v>149</v>
      </c>
      <c r="E158" s="7" t="s">
        <v>275</v>
      </c>
      <c r="F158" s="7" t="s">
        <v>277</v>
      </c>
      <c r="G158" s="7" t="s">
        <v>149</v>
      </c>
      <c r="H158" s="7" t="s">
        <v>149</v>
      </c>
      <c r="I158" s="7" t="s">
        <v>671</v>
      </c>
      <c r="J158" s="6" t="n">
        <v>1</v>
      </c>
    </row>
    <row r="159" customFormat="false" ht="15" hidden="false" customHeight="false" outlineLevel="0" collapsed="false">
      <c r="A159" s="6" t="n">
        <v>155</v>
      </c>
      <c r="B159" s="7" t="s">
        <v>279</v>
      </c>
      <c r="C159" s="6" t="s">
        <v>638</v>
      </c>
      <c r="D159" s="7" t="s">
        <v>149</v>
      </c>
      <c r="E159" s="7" t="s">
        <v>149</v>
      </c>
      <c r="F159" s="7" t="s">
        <v>275</v>
      </c>
      <c r="G159" s="7" t="s">
        <v>277</v>
      </c>
      <c r="H159" s="7" t="s">
        <v>149</v>
      </c>
      <c r="I159" s="7" t="s">
        <v>672</v>
      </c>
      <c r="J159" s="6" t="n">
        <v>1</v>
      </c>
    </row>
    <row r="160" customFormat="false" ht="15" hidden="false" customHeight="false" outlineLevel="0" collapsed="false">
      <c r="A160" s="6" t="n">
        <v>156</v>
      </c>
      <c r="B160" s="7" t="s">
        <v>279</v>
      </c>
      <c r="C160" s="6" t="s">
        <v>640</v>
      </c>
      <c r="D160" s="7" t="s">
        <v>277</v>
      </c>
      <c r="E160" s="7" t="s">
        <v>149</v>
      </c>
      <c r="F160" s="7" t="s">
        <v>149</v>
      </c>
      <c r="G160" s="7" t="s">
        <v>275</v>
      </c>
      <c r="H160" s="7" t="s">
        <v>149</v>
      </c>
      <c r="I160" s="7" t="s">
        <v>673</v>
      </c>
      <c r="J160" s="6" t="n">
        <v>1</v>
      </c>
    </row>
    <row r="161" customFormat="false" ht="15" hidden="false" customHeight="false" outlineLevel="0" collapsed="false">
      <c r="A161" s="6" t="n">
        <v>157</v>
      </c>
      <c r="B161" s="7" t="s">
        <v>281</v>
      </c>
      <c r="C161" s="6" t="s">
        <v>634</v>
      </c>
      <c r="D161" s="7" t="s">
        <v>276</v>
      </c>
      <c r="E161" s="7" t="s">
        <v>276</v>
      </c>
      <c r="F161" s="7" t="s">
        <v>276</v>
      </c>
      <c r="G161" s="7" t="s">
        <v>276</v>
      </c>
      <c r="H161" s="7" t="s">
        <v>149</v>
      </c>
      <c r="I161" s="7" t="s">
        <v>254</v>
      </c>
      <c r="J161" s="6" t="n">
        <v>1</v>
      </c>
    </row>
    <row r="162" customFormat="false" ht="15" hidden="false" customHeight="false" outlineLevel="0" collapsed="false">
      <c r="A162" s="6" t="n">
        <v>158</v>
      </c>
      <c r="B162" s="7" t="s">
        <v>283</v>
      </c>
      <c r="C162" s="6" t="s">
        <v>634</v>
      </c>
      <c r="D162" s="7" t="s">
        <v>276</v>
      </c>
      <c r="E162" s="7" t="s">
        <v>276</v>
      </c>
      <c r="F162" s="7" t="s">
        <v>276</v>
      </c>
      <c r="G162" s="7" t="s">
        <v>276</v>
      </c>
      <c r="H162" s="7" t="s">
        <v>149</v>
      </c>
      <c r="I162" s="7" t="s">
        <v>254</v>
      </c>
      <c r="J162" s="6" t="n">
        <v>0.5</v>
      </c>
    </row>
    <row r="163" customFormat="false" ht="15" hidden="false" customHeight="false" outlineLevel="0" collapsed="false">
      <c r="A163" s="6" t="n">
        <v>159</v>
      </c>
      <c r="B163" s="7" t="s">
        <v>286</v>
      </c>
      <c r="C163" s="6" t="s">
        <v>634</v>
      </c>
      <c r="D163" s="7" t="s">
        <v>287</v>
      </c>
      <c r="E163" s="7" t="s">
        <v>149</v>
      </c>
      <c r="F163" s="7" t="s">
        <v>288</v>
      </c>
      <c r="G163" s="7" t="s">
        <v>149</v>
      </c>
      <c r="H163" s="7" t="s">
        <v>149</v>
      </c>
      <c r="I163" s="7" t="s">
        <v>166</v>
      </c>
      <c r="J163" s="6" t="n">
        <v>1</v>
      </c>
    </row>
    <row r="164" customFormat="false" ht="15" hidden="false" customHeight="false" outlineLevel="0" collapsed="false">
      <c r="A164" s="6" t="n">
        <v>160</v>
      </c>
      <c r="B164" s="7" t="s">
        <v>286</v>
      </c>
      <c r="C164" s="6" t="s">
        <v>636</v>
      </c>
      <c r="D164" s="7" t="s">
        <v>149</v>
      </c>
      <c r="E164" s="7" t="s">
        <v>287</v>
      </c>
      <c r="F164" s="7" t="s">
        <v>149</v>
      </c>
      <c r="G164" s="7" t="s">
        <v>288</v>
      </c>
      <c r="H164" s="7" t="s">
        <v>149</v>
      </c>
      <c r="I164" s="7" t="s">
        <v>166</v>
      </c>
      <c r="J164" s="6" t="n">
        <v>1</v>
      </c>
    </row>
    <row r="165" customFormat="false" ht="15" hidden="false" customHeight="false" outlineLevel="0" collapsed="false">
      <c r="A165" s="6" t="n">
        <v>161</v>
      </c>
      <c r="B165" s="7" t="s">
        <v>286</v>
      </c>
      <c r="C165" s="6" t="s">
        <v>638</v>
      </c>
      <c r="D165" s="7" t="s">
        <v>288</v>
      </c>
      <c r="E165" s="7" t="s">
        <v>149</v>
      </c>
      <c r="F165" s="7" t="s">
        <v>287</v>
      </c>
      <c r="G165" s="7" t="s">
        <v>149</v>
      </c>
      <c r="H165" s="7" t="s">
        <v>149</v>
      </c>
      <c r="I165" s="7" t="s">
        <v>166</v>
      </c>
      <c r="J165" s="6" t="n">
        <v>1</v>
      </c>
    </row>
    <row r="166" customFormat="false" ht="15" hidden="false" customHeight="false" outlineLevel="0" collapsed="false">
      <c r="A166" s="6" t="n">
        <v>162</v>
      </c>
      <c r="B166" s="7" t="s">
        <v>286</v>
      </c>
      <c r="C166" s="6" t="s">
        <v>640</v>
      </c>
      <c r="D166" s="7" t="s">
        <v>149</v>
      </c>
      <c r="E166" s="7" t="s">
        <v>288</v>
      </c>
      <c r="F166" s="7" t="s">
        <v>149</v>
      </c>
      <c r="G166" s="7" t="s">
        <v>287</v>
      </c>
      <c r="H166" s="7" t="s">
        <v>149</v>
      </c>
      <c r="I166" s="7" t="s">
        <v>166</v>
      </c>
      <c r="J166" s="6" t="n">
        <v>1</v>
      </c>
    </row>
    <row r="167" customFormat="false" ht="15" hidden="false" customHeight="false" outlineLevel="0" collapsed="false">
      <c r="A167" s="6" t="n">
        <v>163</v>
      </c>
      <c r="B167" s="7" t="s">
        <v>290</v>
      </c>
      <c r="C167" s="6" t="s">
        <v>634</v>
      </c>
      <c r="D167" s="7" t="s">
        <v>291</v>
      </c>
      <c r="E167" s="7" t="s">
        <v>149</v>
      </c>
      <c r="F167" s="7" t="s">
        <v>292</v>
      </c>
      <c r="G167" s="7" t="s">
        <v>149</v>
      </c>
      <c r="H167" s="7" t="s">
        <v>149</v>
      </c>
      <c r="I167" s="7" t="s">
        <v>166</v>
      </c>
      <c r="J167" s="6" t="n">
        <v>1</v>
      </c>
    </row>
    <row r="168" customFormat="false" ht="15" hidden="false" customHeight="false" outlineLevel="0" collapsed="false">
      <c r="A168" s="6" t="n">
        <v>164</v>
      </c>
      <c r="B168" s="7" t="s">
        <v>290</v>
      </c>
      <c r="C168" s="6" t="s">
        <v>636</v>
      </c>
      <c r="D168" s="7" t="s">
        <v>149</v>
      </c>
      <c r="E168" s="7" t="s">
        <v>291</v>
      </c>
      <c r="F168" s="7" t="s">
        <v>149</v>
      </c>
      <c r="G168" s="7" t="s">
        <v>292</v>
      </c>
      <c r="H168" s="7" t="s">
        <v>149</v>
      </c>
      <c r="I168" s="7" t="s">
        <v>166</v>
      </c>
      <c r="J168" s="6" t="n">
        <v>1</v>
      </c>
    </row>
    <row r="169" customFormat="false" ht="15" hidden="false" customHeight="false" outlineLevel="0" collapsed="false">
      <c r="A169" s="6" t="n">
        <v>165</v>
      </c>
      <c r="B169" s="7" t="s">
        <v>290</v>
      </c>
      <c r="C169" s="6" t="s">
        <v>638</v>
      </c>
      <c r="D169" s="7" t="s">
        <v>292</v>
      </c>
      <c r="E169" s="7" t="s">
        <v>149</v>
      </c>
      <c r="F169" s="7" t="s">
        <v>291</v>
      </c>
      <c r="G169" s="7" t="s">
        <v>149</v>
      </c>
      <c r="H169" s="7" t="s">
        <v>149</v>
      </c>
      <c r="I169" s="7" t="s">
        <v>166</v>
      </c>
      <c r="J169" s="6" t="n">
        <v>1</v>
      </c>
    </row>
    <row r="170" customFormat="false" ht="15" hidden="false" customHeight="false" outlineLevel="0" collapsed="false">
      <c r="A170" s="6" t="n">
        <v>166</v>
      </c>
      <c r="B170" s="7" t="s">
        <v>290</v>
      </c>
      <c r="C170" s="6" t="s">
        <v>640</v>
      </c>
      <c r="D170" s="7" t="s">
        <v>149</v>
      </c>
      <c r="E170" s="7" t="s">
        <v>292</v>
      </c>
      <c r="F170" s="7" t="s">
        <v>149</v>
      </c>
      <c r="G170" s="7" t="s">
        <v>291</v>
      </c>
      <c r="H170" s="7" t="s">
        <v>149</v>
      </c>
      <c r="I170" s="7" t="s">
        <v>166</v>
      </c>
      <c r="J170" s="6" t="n">
        <v>1</v>
      </c>
    </row>
    <row r="171" customFormat="false" ht="15" hidden="false" customHeight="false" outlineLevel="0" collapsed="false">
      <c r="A171" s="6" t="n">
        <v>167</v>
      </c>
      <c r="B171" s="7" t="s">
        <v>294</v>
      </c>
      <c r="C171" s="6" t="s">
        <v>634</v>
      </c>
      <c r="D171" s="7" t="s">
        <v>288</v>
      </c>
      <c r="E171" s="7" t="s">
        <v>149</v>
      </c>
      <c r="F171" s="7" t="s">
        <v>295</v>
      </c>
      <c r="G171" s="7" t="s">
        <v>149</v>
      </c>
      <c r="H171" s="7" t="s">
        <v>149</v>
      </c>
      <c r="I171" s="7" t="s">
        <v>166</v>
      </c>
      <c r="J171" s="6" t="n">
        <v>1</v>
      </c>
    </row>
    <row r="172" customFormat="false" ht="15" hidden="false" customHeight="false" outlineLevel="0" collapsed="false">
      <c r="A172" s="6" t="n">
        <v>168</v>
      </c>
      <c r="B172" s="7" t="s">
        <v>294</v>
      </c>
      <c r="C172" s="6" t="s">
        <v>636</v>
      </c>
      <c r="D172" s="7" t="s">
        <v>149</v>
      </c>
      <c r="E172" s="7" t="s">
        <v>288</v>
      </c>
      <c r="F172" s="7" t="s">
        <v>149</v>
      </c>
      <c r="G172" s="7" t="s">
        <v>295</v>
      </c>
      <c r="H172" s="7" t="s">
        <v>149</v>
      </c>
      <c r="I172" s="7" t="s">
        <v>166</v>
      </c>
      <c r="J172" s="6" t="n">
        <v>1</v>
      </c>
    </row>
    <row r="173" customFormat="false" ht="15" hidden="false" customHeight="false" outlineLevel="0" collapsed="false">
      <c r="A173" s="6" t="n">
        <v>169</v>
      </c>
      <c r="B173" s="7" t="s">
        <v>294</v>
      </c>
      <c r="C173" s="6" t="s">
        <v>638</v>
      </c>
      <c r="D173" s="7" t="s">
        <v>295</v>
      </c>
      <c r="E173" s="7" t="s">
        <v>149</v>
      </c>
      <c r="F173" s="7" t="s">
        <v>288</v>
      </c>
      <c r="G173" s="7" t="s">
        <v>149</v>
      </c>
      <c r="H173" s="7" t="s">
        <v>149</v>
      </c>
      <c r="I173" s="7" t="s">
        <v>166</v>
      </c>
      <c r="J173" s="6" t="n">
        <v>1</v>
      </c>
    </row>
    <row r="174" customFormat="false" ht="15" hidden="false" customHeight="false" outlineLevel="0" collapsed="false">
      <c r="A174" s="6" t="n">
        <v>170</v>
      </c>
      <c r="B174" s="7" t="s">
        <v>294</v>
      </c>
      <c r="C174" s="6" t="s">
        <v>640</v>
      </c>
      <c r="D174" s="7" t="s">
        <v>149</v>
      </c>
      <c r="E174" s="7" t="s">
        <v>295</v>
      </c>
      <c r="F174" s="7" t="s">
        <v>149</v>
      </c>
      <c r="G174" s="7" t="s">
        <v>288</v>
      </c>
      <c r="H174" s="7" t="s">
        <v>149</v>
      </c>
      <c r="I174" s="7" t="s">
        <v>166</v>
      </c>
      <c r="J174" s="6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60"/>
    <col collapsed="false" customWidth="true" hidden="false" outlineLevel="0" max="7" min="5" style="0" width="12"/>
  </cols>
  <sheetData>
    <row r="1" customFormat="false" ht="17.35" hidden="false" customHeight="false" outlineLevel="0" collapsed="false">
      <c r="A1" s="1" t="s">
        <v>674</v>
      </c>
    </row>
    <row r="2" customFormat="false" ht="15" hidden="false" customHeight="false" outlineLevel="0" collapsed="false">
      <c r="A2" s="2" t="s">
        <v>675</v>
      </c>
    </row>
    <row r="4" customFormat="false" ht="42" hidden="false" customHeight="true" outlineLevel="0" collapsed="false">
      <c r="A4" s="4" t="s">
        <v>676</v>
      </c>
      <c r="B4" s="4" t="s">
        <v>677</v>
      </c>
      <c r="C4" s="4" t="s">
        <v>678</v>
      </c>
      <c r="D4" s="4" t="s">
        <v>7</v>
      </c>
    </row>
    <row r="5" customFormat="false" ht="15" hidden="false" customHeight="false" outlineLevel="0" collapsed="false">
      <c r="A5" s="7" t="s">
        <v>679</v>
      </c>
      <c r="B5" s="16" t="n">
        <v>326</v>
      </c>
      <c r="C5" s="16" t="n">
        <v>143</v>
      </c>
      <c r="D5" s="7" t="s">
        <v>680</v>
      </c>
    </row>
    <row r="6" customFormat="false" ht="15" hidden="false" customHeight="false" outlineLevel="0" collapsed="false">
      <c r="A6" s="7" t="s">
        <v>681</v>
      </c>
      <c r="B6" s="16" t="n">
        <v>224</v>
      </c>
      <c r="C6" s="16" t="n">
        <v>92</v>
      </c>
      <c r="D6" s="7"/>
    </row>
    <row r="7" customFormat="false" ht="15" hidden="false" customHeight="false" outlineLevel="0" collapsed="false">
      <c r="A7" s="7" t="s">
        <v>682</v>
      </c>
      <c r="B7" s="16" t="n">
        <v>102</v>
      </c>
      <c r="C7" s="16" t="n">
        <v>51</v>
      </c>
      <c r="D7" s="7" t="s">
        <v>683</v>
      </c>
    </row>
    <row r="8" customFormat="false" ht="15" hidden="false" customHeight="false" outlineLevel="0" collapsed="false">
      <c r="A8" s="21" t="s">
        <v>684</v>
      </c>
      <c r="B8" s="26" t="n">
        <f aca="false">B7/B5</f>
        <v>0.312883435582822</v>
      </c>
      <c r="C8" s="26" t="n">
        <f aca="false">C7/C5</f>
        <v>0.356643356643357</v>
      </c>
      <c r="D8" s="7"/>
    </row>
    <row r="9" customFormat="false" ht="15" hidden="false" customHeight="false" outlineLevel="0" collapsed="false">
      <c r="A9" s="7" t="s">
        <v>685</v>
      </c>
      <c r="B9" s="19" t="n">
        <v>0.535</v>
      </c>
      <c r="C9" s="19" t="n">
        <v>0.653</v>
      </c>
      <c r="D9" s="7" t="s">
        <v>686</v>
      </c>
    </row>
    <row r="11" customFormat="false" ht="15" hidden="false" customHeight="false" outlineLevel="0" collapsed="false">
      <c r="A11" s="5" t="s">
        <v>687</v>
      </c>
      <c r="B11" s="27"/>
      <c r="C11" s="27"/>
      <c r="D11" s="27"/>
    </row>
    <row r="12" customFormat="false" ht="15" hidden="false" customHeight="false" outlineLevel="0" collapsed="false">
      <c r="A12" s="7" t="s">
        <v>688</v>
      </c>
      <c r="B12" s="15" t="n">
        <v>0</v>
      </c>
      <c r="C12" s="16" t="n">
        <v>0</v>
      </c>
      <c r="D12" s="7"/>
    </row>
    <row r="13" customFormat="false" ht="15" hidden="false" customHeight="false" outlineLevel="0" collapsed="false">
      <c r="A13" s="7" t="s">
        <v>689</v>
      </c>
      <c r="B13" s="15" t="n">
        <v>0</v>
      </c>
      <c r="C13" s="16" t="n">
        <v>0</v>
      </c>
      <c r="D13" s="7"/>
    </row>
    <row r="14" customFormat="false" ht="15" hidden="false" customHeight="false" outlineLevel="0" collapsed="false">
      <c r="A14" s="7" t="s">
        <v>690</v>
      </c>
      <c r="B14" s="15" t="n">
        <v>0</v>
      </c>
      <c r="C14" s="16" t="n">
        <v>0</v>
      </c>
      <c r="D14" s="7"/>
    </row>
    <row r="15" customFormat="false" ht="15" hidden="false" customHeight="false" outlineLevel="0" collapsed="false">
      <c r="A15" s="7" t="s">
        <v>691</v>
      </c>
      <c r="B15" s="15" t="n">
        <v>0</v>
      </c>
      <c r="C15" s="16" t="n">
        <v>0</v>
      </c>
      <c r="D15" s="7"/>
    </row>
    <row r="16" customFormat="false" ht="15" hidden="false" customHeight="false" outlineLevel="0" collapsed="false">
      <c r="A16" s="7" t="s">
        <v>692</v>
      </c>
      <c r="B16" s="15" t="n">
        <v>0</v>
      </c>
      <c r="C16" s="16" t="s">
        <v>693</v>
      </c>
      <c r="D16" s="7" t="s">
        <v>694</v>
      </c>
    </row>
    <row r="17" customFormat="false" ht="15" hidden="false" customHeight="false" outlineLevel="0" collapsed="false">
      <c r="A17" s="7" t="s">
        <v>695</v>
      </c>
      <c r="B17" s="15" t="n">
        <v>0</v>
      </c>
      <c r="C17" s="16" t="n">
        <v>231</v>
      </c>
      <c r="D17" s="7" t="s">
        <v>696</v>
      </c>
    </row>
    <row r="18" customFormat="false" ht="23.85" hidden="false" customHeight="false" outlineLevel="0" collapsed="false">
      <c r="A18" s="7" t="s">
        <v>697</v>
      </c>
      <c r="B18" s="15" t="n">
        <v>0</v>
      </c>
      <c r="C18" s="16" t="n">
        <v>459</v>
      </c>
      <c r="D18" s="7" t="s">
        <v>698</v>
      </c>
    </row>
    <row r="19" customFormat="false" ht="15" hidden="false" customHeight="false" outlineLevel="0" collapsed="false">
      <c r="A19" s="7" t="s">
        <v>699</v>
      </c>
      <c r="B19" s="15" t="n">
        <v>0</v>
      </c>
      <c r="C19" s="16" t="n">
        <v>0</v>
      </c>
      <c r="D19" s="7"/>
    </row>
    <row r="20" customFormat="false" ht="15" hidden="false" customHeight="false" outlineLevel="0" collapsed="false">
      <c r="A20" s="7" t="s">
        <v>700</v>
      </c>
      <c r="B20" s="15" t="n">
        <v>0</v>
      </c>
      <c r="C20" s="16" t="n">
        <v>0</v>
      </c>
      <c r="D20" s="7"/>
    </row>
    <row r="21" customFormat="false" ht="15" hidden="false" customHeight="false" outlineLevel="0" collapsed="false">
      <c r="A21" s="7" t="s">
        <v>701</v>
      </c>
      <c r="B21" s="15" t="n">
        <v>0</v>
      </c>
      <c r="C21" s="16" t="n">
        <v>0</v>
      </c>
      <c r="D21" s="7"/>
    </row>
    <row r="22" customFormat="false" ht="15" hidden="false" customHeight="false" outlineLevel="0" collapsed="false">
      <c r="A22" s="7" t="s">
        <v>702</v>
      </c>
      <c r="B22" s="15" t="n">
        <v>0</v>
      </c>
      <c r="C22" s="16" t="n">
        <v>0</v>
      </c>
      <c r="D22" s="7"/>
    </row>
    <row r="23" customFormat="false" ht="15" hidden="false" customHeight="false" outlineLevel="0" collapsed="false">
      <c r="A23" s="7" t="s">
        <v>703</v>
      </c>
      <c r="B23" s="15" t="n">
        <v>0</v>
      </c>
      <c r="C23" s="16" t="n">
        <v>0</v>
      </c>
      <c r="D23" s="7"/>
    </row>
    <row r="24" customFormat="false" ht="15" hidden="false" customHeight="false" outlineLevel="0" collapsed="false">
      <c r="A24" s="21" t="s">
        <v>704</v>
      </c>
      <c r="B24" s="28" t="n">
        <f aca="false">SUM(B12:B23)</f>
        <v>0</v>
      </c>
      <c r="C24" s="28" t="n">
        <f aca="false">SUM(C12:C23)</f>
        <v>690</v>
      </c>
      <c r="D24" s="7"/>
    </row>
    <row r="26" customFormat="false" ht="15" hidden="false" customHeight="false" outlineLevel="0" collapsed="false">
      <c r="A26" s="5" t="s">
        <v>705</v>
      </c>
      <c r="B26" s="27"/>
      <c r="C26" s="27"/>
      <c r="D26" s="27"/>
    </row>
    <row r="27" customFormat="false" ht="15" hidden="false" customHeight="false" outlineLevel="0" collapsed="false">
      <c r="A27" s="7" t="s">
        <v>706</v>
      </c>
      <c r="B27" s="22" t="n">
        <v>11.79</v>
      </c>
      <c r="C27" s="22" t="n">
        <v>18.64</v>
      </c>
      <c r="D27" s="7" t="s">
        <v>707</v>
      </c>
    </row>
    <row r="28" customFormat="false" ht="15" hidden="false" customHeight="false" outlineLevel="0" collapsed="false">
      <c r="A28" s="7" t="s">
        <v>708</v>
      </c>
      <c r="B28" s="22" t="n">
        <v>6.4</v>
      </c>
      <c r="C28" s="22" t="n">
        <v>5.73</v>
      </c>
      <c r="D28" s="7"/>
    </row>
    <row r="29" customFormat="false" ht="15" hidden="false" customHeight="false" outlineLevel="0" collapsed="false">
      <c r="A29" s="7" t="s">
        <v>709</v>
      </c>
      <c r="B29" s="22" t="n">
        <v>1.09</v>
      </c>
      <c r="C29" s="22" t="n">
        <v>1.65</v>
      </c>
      <c r="D29" s="7"/>
    </row>
    <row r="30" customFormat="false" ht="15" hidden="false" customHeight="false" outlineLevel="0" collapsed="false">
      <c r="A30" s="7" t="s">
        <v>160</v>
      </c>
      <c r="B30" s="22" t="n">
        <v>4.43</v>
      </c>
      <c r="C30" s="22" t="n">
        <v>4.99</v>
      </c>
      <c r="D30" s="7" t="s">
        <v>710</v>
      </c>
    </row>
    <row r="31" customFormat="false" ht="15" hidden="false" customHeight="false" outlineLevel="0" collapsed="false">
      <c r="A31" s="7" t="s">
        <v>711</v>
      </c>
      <c r="B31" s="16" t="s">
        <v>712</v>
      </c>
      <c r="C31" s="16" t="s">
        <v>713</v>
      </c>
      <c r="D31" s="7"/>
    </row>
    <row r="32" customFormat="false" ht="15" hidden="false" customHeight="false" outlineLevel="0" collapsed="false">
      <c r="A32" s="7" t="s">
        <v>714</v>
      </c>
      <c r="B32" s="16" t="s">
        <v>715</v>
      </c>
      <c r="C32" s="16" t="s">
        <v>716</v>
      </c>
      <c r="D32" s="7"/>
    </row>
    <row r="33" customFormat="false" ht="15" hidden="false" customHeight="false" outlineLevel="0" collapsed="false">
      <c r="A33" s="7" t="s">
        <v>717</v>
      </c>
      <c r="B33" s="16" t="s">
        <v>718</v>
      </c>
      <c r="C33" s="16" t="s">
        <v>719</v>
      </c>
      <c r="D33" s="7" t="s">
        <v>720</v>
      </c>
    </row>
    <row r="34" customFormat="false" ht="15" hidden="false" customHeight="false" outlineLevel="0" collapsed="false">
      <c r="A34" s="7" t="s">
        <v>721</v>
      </c>
      <c r="B34" s="16" t="s">
        <v>722</v>
      </c>
      <c r="C34" s="16" t="s">
        <v>723</v>
      </c>
      <c r="D34" s="7"/>
    </row>
    <row r="35" customFormat="false" ht="15" hidden="false" customHeight="false" outlineLevel="0" collapsed="false">
      <c r="A35" s="7" t="s">
        <v>724</v>
      </c>
      <c r="B35" s="16" t="s">
        <v>725</v>
      </c>
      <c r="C35" s="16" t="s">
        <v>726</v>
      </c>
      <c r="D35" s="7" t="s">
        <v>727</v>
      </c>
    </row>
    <row r="36" customFormat="false" ht="15" hidden="false" customHeight="false" outlineLevel="0" collapsed="false">
      <c r="A36" s="7" t="s">
        <v>728</v>
      </c>
      <c r="B36" s="16" t="s">
        <v>729</v>
      </c>
      <c r="C36" s="16" t="s">
        <v>730</v>
      </c>
      <c r="D36" s="7"/>
    </row>
    <row r="38" customFormat="false" ht="23.85" hidden="false" customHeight="false" outlineLevel="0" collapsed="false">
      <c r="A38" s="5" t="s">
        <v>731</v>
      </c>
      <c r="B38" s="27"/>
      <c r="C38" s="27"/>
      <c r="D38" s="27"/>
    </row>
    <row r="39" customFormat="false" ht="15" hidden="false" customHeight="false" outlineLevel="0" collapsed="false">
      <c r="A39" s="7" t="s">
        <v>146</v>
      </c>
      <c r="B39" s="20" t="n">
        <v>0.6623</v>
      </c>
      <c r="C39" s="16" t="s">
        <v>10</v>
      </c>
      <c r="D39" s="7"/>
    </row>
    <row r="40" customFormat="false" ht="15" hidden="false" customHeight="false" outlineLevel="0" collapsed="false">
      <c r="A40" s="7" t="s">
        <v>154</v>
      </c>
      <c r="B40" s="20" t="n">
        <v>0.0646</v>
      </c>
      <c r="C40" s="16" t="s">
        <v>10</v>
      </c>
      <c r="D40" s="7"/>
    </row>
    <row r="41" customFormat="false" ht="15" hidden="false" customHeight="false" outlineLevel="0" collapsed="false">
      <c r="A41" s="7" t="s">
        <v>158</v>
      </c>
      <c r="B41" s="20" t="n">
        <v>0.0203</v>
      </c>
      <c r="C41" s="16" t="s">
        <v>10</v>
      </c>
      <c r="D41" s="7"/>
    </row>
    <row r="42" customFormat="false" ht="15" hidden="false" customHeight="false" outlineLevel="0" collapsed="false">
      <c r="A42" s="7" t="s">
        <v>152</v>
      </c>
      <c r="B42" s="20" t="n">
        <v>0.2018</v>
      </c>
      <c r="C42" s="16" t="s">
        <v>10</v>
      </c>
      <c r="D42" s="7"/>
    </row>
    <row r="43" customFormat="false" ht="15" hidden="false" customHeight="false" outlineLevel="0" collapsed="false">
      <c r="A43" s="7" t="s">
        <v>156</v>
      </c>
      <c r="B43" s="20" t="n">
        <v>0.0509</v>
      </c>
      <c r="C43" s="16" t="s">
        <v>10</v>
      </c>
      <c r="D43" s="7"/>
    </row>
    <row r="45" customFormat="false" ht="15" hidden="false" customHeight="false" outlineLevel="0" collapsed="false">
      <c r="A45" s="12" t="s">
        <v>732</v>
      </c>
    </row>
    <row r="46" customFormat="false" ht="27.75" hidden="false" customHeight="true" outlineLevel="0" collapsed="false">
      <c r="A46" s="3" t="s">
        <v>733</v>
      </c>
      <c r="B46" s="3"/>
      <c r="C46" s="3"/>
      <c r="D46" s="3"/>
      <c r="E46" s="3"/>
      <c r="F46" s="3"/>
      <c r="G46" s="3"/>
    </row>
    <row r="47" customFormat="false" ht="23.85" hidden="false" customHeight="false" outlineLevel="0" collapsed="false">
      <c r="A47" s="4" t="s">
        <v>734</v>
      </c>
      <c r="B47" s="4" t="s">
        <v>735</v>
      </c>
      <c r="C47" s="4" t="s">
        <v>682</v>
      </c>
      <c r="D47" s="4" t="s">
        <v>684</v>
      </c>
      <c r="E47" s="4" t="s">
        <v>736</v>
      </c>
      <c r="F47" s="4" t="s">
        <v>737</v>
      </c>
      <c r="G47" s="4" t="s">
        <v>738</v>
      </c>
    </row>
    <row r="48" customFormat="false" ht="15" hidden="false" customHeight="false" outlineLevel="0" collapsed="false">
      <c r="A48" s="7" t="s">
        <v>739</v>
      </c>
      <c r="B48" s="16" t="n">
        <v>326</v>
      </c>
      <c r="C48" s="16" t="n">
        <v>102</v>
      </c>
      <c r="D48" s="26" t="n">
        <f aca="false">C48/B48</f>
        <v>0.312883435582822</v>
      </c>
      <c r="E48" s="22" t="n">
        <v>11.79</v>
      </c>
      <c r="F48" s="22" t="n">
        <v>6.4</v>
      </c>
      <c r="G48" s="22" t="n">
        <v>4.43</v>
      </c>
    </row>
    <row r="49" customFormat="false" ht="15" hidden="false" customHeight="false" outlineLevel="0" collapsed="false">
      <c r="A49" s="7" t="s">
        <v>740</v>
      </c>
      <c r="B49" s="16" t="n">
        <v>97</v>
      </c>
      <c r="C49" s="16" t="n">
        <v>43</v>
      </c>
      <c r="D49" s="26" t="n">
        <f aca="false">C49/B49</f>
        <v>0.443298969072165</v>
      </c>
      <c r="E49" s="22" t="n">
        <v>15.02</v>
      </c>
      <c r="F49" s="22" t="n">
        <v>7.96</v>
      </c>
      <c r="G49" s="22" t="n">
        <v>8.61</v>
      </c>
    </row>
    <row r="50" customFormat="false" ht="15" hidden="false" customHeight="false" outlineLevel="0" collapsed="false">
      <c r="A50" s="7" t="s">
        <v>741</v>
      </c>
      <c r="B50" s="16" t="n">
        <v>111</v>
      </c>
      <c r="C50" s="16" t="n">
        <v>67</v>
      </c>
      <c r="D50" s="26" t="n">
        <f aca="false">C50/B50</f>
        <v>0.603603603603604</v>
      </c>
      <c r="E50" s="22" t="n">
        <v>16.75</v>
      </c>
      <c r="F50" s="22" t="n">
        <v>8.48</v>
      </c>
      <c r="G50" s="22" t="n">
        <v>11.91</v>
      </c>
    </row>
    <row r="51" customFormat="false" ht="15" hidden="false" customHeight="false" outlineLevel="0" collapsed="false">
      <c r="A51" s="7" t="s">
        <v>742</v>
      </c>
      <c r="B51" s="16" t="n">
        <v>143</v>
      </c>
      <c r="C51" s="16" t="n">
        <v>51</v>
      </c>
      <c r="D51" s="26" t="n">
        <f aca="false">C51/B51</f>
        <v>0.356643356643357</v>
      </c>
      <c r="E51" s="22" t="n">
        <v>18.64</v>
      </c>
      <c r="F51" s="22" t="n">
        <v>5.73</v>
      </c>
      <c r="G51" s="22" t="n">
        <v>4.99</v>
      </c>
    </row>
  </sheetData>
  <mergeCells count="1">
    <mergeCell ref="A46:G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2026-10-13T11:23:13Z</dcterms:created>
  <dc:creator>openpyxl</dc:creator>
  <dc:description/>
  <dc:language>en-US</dc:language>
  <cp:lastModifiedBy/>
  <dcterms:modified xsi:type="dcterms:W3CDTF">2026-10-13T11:23:13Z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